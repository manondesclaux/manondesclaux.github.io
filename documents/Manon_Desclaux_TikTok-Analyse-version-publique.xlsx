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manondesclaux/Desktop/EPITECH/"/>
    </mc:Choice>
  </mc:AlternateContent>
  <xr:revisionPtr revIDLastSave="0" documentId="13_ncr:1_{0DF9A6E4-677D-394C-B46C-26A15B7250DD}" xr6:coauthVersionLast="47" xr6:coauthVersionMax="47" xr10:uidLastSave="{00000000-0000-0000-0000-000000000000}"/>
  <bookViews>
    <workbookView xWindow="1980" yWindow="1100" windowWidth="33600" windowHeight="18020" tabRatio="500" xr2:uid="{00000000-000D-0000-FFFF-FFFF00000000}"/>
  </bookViews>
  <sheets>
    <sheet name="Synthèse" sheetId="1" r:id="rId1"/>
    <sheet name="Succès" sheetId="2" r:id="rId2"/>
    <sheet name="Facteurs" sheetId="3" r:id="rId3"/>
    <sheet name="Catégories" sheetId="4" r:id="rId4"/>
    <sheet name="TreeMap" sheetId="5" r:id="rId5"/>
    <sheet name="Contacts" sheetId="6" r:id="rId6"/>
    <sheet name="Méthode" sheetId="7" r:id="rId7"/>
    <sheet name="Données" sheetId="8" r:id="rId8"/>
  </sheets>
  <definedNames>
    <definedName name="_xlnm._FilterDatabase" localSheetId="7" hidden="1">Données!$A$1:$T$401</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1" i="1" l="1"/>
  <c r="R401" i="8"/>
  <c r="Q401" i="8"/>
  <c r="P401" i="8"/>
  <c r="R400" i="8"/>
  <c r="Q400" i="8"/>
  <c r="P400" i="8"/>
  <c r="R399" i="8"/>
  <c r="Q399" i="8"/>
  <c r="P399" i="8"/>
  <c r="R398" i="8"/>
  <c r="Q398" i="8"/>
  <c r="P398" i="8"/>
  <c r="R397" i="8"/>
  <c r="Q397" i="8"/>
  <c r="P397" i="8"/>
  <c r="R396" i="8"/>
  <c r="Q396" i="8"/>
  <c r="P396" i="8"/>
  <c r="R395" i="8"/>
  <c r="Q395" i="8"/>
  <c r="P395" i="8"/>
  <c r="R394" i="8"/>
  <c r="Q394" i="8"/>
  <c r="P394" i="8"/>
  <c r="R393" i="8"/>
  <c r="Q393" i="8"/>
  <c r="P393" i="8"/>
  <c r="R392" i="8"/>
  <c r="Q392" i="8"/>
  <c r="P392" i="8"/>
  <c r="R391" i="8"/>
  <c r="Q391" i="8"/>
  <c r="P391" i="8"/>
  <c r="R390" i="8"/>
  <c r="Q390" i="8"/>
  <c r="P390" i="8"/>
  <c r="R389" i="8"/>
  <c r="Q389" i="8"/>
  <c r="P389" i="8"/>
  <c r="R388" i="8"/>
  <c r="Q388" i="8"/>
  <c r="P388" i="8"/>
  <c r="R387" i="8"/>
  <c r="Q387" i="8"/>
  <c r="P387" i="8"/>
  <c r="R386" i="8"/>
  <c r="Q386" i="8"/>
  <c r="P386" i="8"/>
  <c r="R385" i="8"/>
  <c r="Q385" i="8"/>
  <c r="P385" i="8"/>
  <c r="R384" i="8"/>
  <c r="Q384" i="8"/>
  <c r="P384" i="8"/>
  <c r="R383" i="8"/>
  <c r="Q383" i="8"/>
  <c r="P383" i="8"/>
  <c r="R382" i="8"/>
  <c r="Q382" i="8"/>
  <c r="P382" i="8"/>
  <c r="R381" i="8"/>
  <c r="Q381" i="8"/>
  <c r="P381" i="8"/>
  <c r="R380" i="8"/>
  <c r="Q380" i="8"/>
  <c r="P380" i="8"/>
  <c r="R379" i="8"/>
  <c r="Q379" i="8"/>
  <c r="P379" i="8"/>
  <c r="R378" i="8"/>
  <c r="Q378" i="8"/>
  <c r="P378" i="8"/>
  <c r="R377" i="8"/>
  <c r="Q377" i="8"/>
  <c r="P377" i="8"/>
  <c r="R376" i="8"/>
  <c r="Q376" i="8"/>
  <c r="P376" i="8"/>
  <c r="R375" i="8"/>
  <c r="Q375" i="8"/>
  <c r="P375" i="8"/>
  <c r="R374" i="8"/>
  <c r="Q374" i="8"/>
  <c r="P374" i="8"/>
  <c r="R373" i="8"/>
  <c r="Q373" i="8"/>
  <c r="P373" i="8"/>
  <c r="R372" i="8"/>
  <c r="Q372" i="8"/>
  <c r="P372" i="8"/>
  <c r="R371" i="8"/>
  <c r="Q371" i="8"/>
  <c r="P371" i="8"/>
  <c r="R370" i="8"/>
  <c r="Q370" i="8"/>
  <c r="P370" i="8"/>
  <c r="R369" i="8"/>
  <c r="Q369" i="8"/>
  <c r="P369" i="8"/>
  <c r="R368" i="8"/>
  <c r="Q368" i="8"/>
  <c r="P368" i="8"/>
  <c r="R367" i="8"/>
  <c r="Q367" i="8"/>
  <c r="P367" i="8"/>
  <c r="R366" i="8"/>
  <c r="Q366" i="8"/>
  <c r="P366" i="8"/>
  <c r="R365" i="8"/>
  <c r="Q365" i="8"/>
  <c r="P365" i="8"/>
  <c r="R364" i="8"/>
  <c r="Q364" i="8"/>
  <c r="P364" i="8"/>
  <c r="R363" i="8"/>
  <c r="Q363" i="8"/>
  <c r="P363" i="8"/>
  <c r="R362" i="8"/>
  <c r="Q362" i="8"/>
  <c r="P362" i="8"/>
  <c r="R361" i="8"/>
  <c r="Q361" i="8"/>
  <c r="P361" i="8"/>
  <c r="R360" i="8"/>
  <c r="Q360" i="8"/>
  <c r="P360" i="8"/>
  <c r="R359" i="8"/>
  <c r="Q359" i="8"/>
  <c r="P359" i="8"/>
  <c r="R358" i="8"/>
  <c r="Q358" i="8"/>
  <c r="P358" i="8"/>
  <c r="R357" i="8"/>
  <c r="Q357" i="8"/>
  <c r="P357" i="8"/>
  <c r="R356" i="8"/>
  <c r="Q356" i="8"/>
  <c r="P356" i="8"/>
  <c r="R355" i="8"/>
  <c r="Q355" i="8"/>
  <c r="P355" i="8"/>
  <c r="R354" i="8"/>
  <c r="Q354" i="8"/>
  <c r="P354" i="8"/>
  <c r="R353" i="8"/>
  <c r="Q353" i="8"/>
  <c r="P353" i="8"/>
  <c r="R352" i="8"/>
  <c r="Q352" i="8"/>
  <c r="P352" i="8"/>
  <c r="R351" i="8"/>
  <c r="Q351" i="8"/>
  <c r="P351" i="8"/>
  <c r="R350" i="8"/>
  <c r="Q350" i="8"/>
  <c r="P350" i="8"/>
  <c r="R349" i="8"/>
  <c r="Q349" i="8"/>
  <c r="P349" i="8"/>
  <c r="R348" i="8"/>
  <c r="Q348" i="8"/>
  <c r="P348" i="8"/>
  <c r="R347" i="8"/>
  <c r="Q347" i="8"/>
  <c r="P347" i="8"/>
  <c r="R346" i="8"/>
  <c r="Q346" i="8"/>
  <c r="P346" i="8"/>
  <c r="R345" i="8"/>
  <c r="Q345" i="8"/>
  <c r="P345" i="8"/>
  <c r="R344" i="8"/>
  <c r="Q344" i="8"/>
  <c r="P344" i="8"/>
  <c r="R343" i="8"/>
  <c r="Q343" i="8"/>
  <c r="P343" i="8"/>
  <c r="R342" i="8"/>
  <c r="Q342" i="8"/>
  <c r="P342" i="8"/>
  <c r="R341" i="8"/>
  <c r="Q341" i="8"/>
  <c r="P341" i="8"/>
  <c r="R340" i="8"/>
  <c r="Q340" i="8"/>
  <c r="P340" i="8"/>
  <c r="R339" i="8"/>
  <c r="Q339" i="8"/>
  <c r="P339" i="8"/>
  <c r="R338" i="8"/>
  <c r="Q338" i="8"/>
  <c r="P338" i="8"/>
  <c r="R337" i="8"/>
  <c r="Q337" i="8"/>
  <c r="P337" i="8"/>
  <c r="R336" i="8"/>
  <c r="Q336" i="8"/>
  <c r="P336" i="8"/>
  <c r="R335" i="8"/>
  <c r="Q335" i="8"/>
  <c r="P335" i="8"/>
  <c r="R334" i="8"/>
  <c r="Q334" i="8"/>
  <c r="P334" i="8"/>
  <c r="R333" i="8"/>
  <c r="Q333" i="8"/>
  <c r="P333" i="8"/>
  <c r="R332" i="8"/>
  <c r="Q332" i="8"/>
  <c r="P332" i="8"/>
  <c r="R331" i="8"/>
  <c r="Q331" i="8"/>
  <c r="P331" i="8"/>
  <c r="R330" i="8"/>
  <c r="Q330" i="8"/>
  <c r="P330" i="8"/>
  <c r="R329" i="8"/>
  <c r="Q329" i="8"/>
  <c r="P329" i="8"/>
  <c r="R328" i="8"/>
  <c r="Q328" i="8"/>
  <c r="P328" i="8"/>
  <c r="R327" i="8"/>
  <c r="Q327" i="8"/>
  <c r="P327" i="8"/>
  <c r="R326" i="8"/>
  <c r="Q326" i="8"/>
  <c r="P326" i="8"/>
  <c r="R325" i="8"/>
  <c r="Q325" i="8"/>
  <c r="P325" i="8"/>
  <c r="R324" i="8"/>
  <c r="Q324" i="8"/>
  <c r="P324" i="8"/>
  <c r="R323" i="8"/>
  <c r="Q323" i="8"/>
  <c r="P323" i="8"/>
  <c r="R322" i="8"/>
  <c r="Q322" i="8"/>
  <c r="P322" i="8"/>
  <c r="R321" i="8"/>
  <c r="Q321" i="8"/>
  <c r="P321" i="8"/>
  <c r="R320" i="8"/>
  <c r="Q320" i="8"/>
  <c r="P320" i="8"/>
  <c r="R319" i="8"/>
  <c r="Q319" i="8"/>
  <c r="P319" i="8"/>
  <c r="R318" i="8"/>
  <c r="Q318" i="8"/>
  <c r="P318" i="8"/>
  <c r="R317" i="8"/>
  <c r="Q317" i="8"/>
  <c r="P317" i="8"/>
  <c r="R316" i="8"/>
  <c r="Q316" i="8"/>
  <c r="P316" i="8"/>
  <c r="R315" i="8"/>
  <c r="Q315" i="8"/>
  <c r="P315" i="8"/>
  <c r="R314" i="8"/>
  <c r="Q314" i="8"/>
  <c r="P314" i="8"/>
  <c r="R313" i="8"/>
  <c r="Q313" i="8"/>
  <c r="P313" i="8"/>
  <c r="R312" i="8"/>
  <c r="Q312" i="8"/>
  <c r="P312" i="8"/>
  <c r="R311" i="8"/>
  <c r="Q311" i="8"/>
  <c r="P311" i="8"/>
  <c r="R310" i="8"/>
  <c r="Q310" i="8"/>
  <c r="P310" i="8"/>
  <c r="R309" i="8"/>
  <c r="Q309" i="8"/>
  <c r="P309" i="8"/>
  <c r="R308" i="8"/>
  <c r="Q308" i="8"/>
  <c r="P308" i="8"/>
  <c r="R307" i="8"/>
  <c r="Q307" i="8"/>
  <c r="P307" i="8"/>
  <c r="R306" i="8"/>
  <c r="Q306" i="8"/>
  <c r="P306" i="8"/>
  <c r="R305" i="8"/>
  <c r="Q305" i="8"/>
  <c r="P305" i="8"/>
  <c r="R304" i="8"/>
  <c r="Q304" i="8"/>
  <c r="P304" i="8"/>
  <c r="R303" i="8"/>
  <c r="Q303" i="8"/>
  <c r="P303" i="8"/>
  <c r="R302" i="8"/>
  <c r="Q302" i="8"/>
  <c r="P302" i="8"/>
  <c r="R301" i="8"/>
  <c r="Q301" i="8"/>
  <c r="P301" i="8"/>
  <c r="R300" i="8"/>
  <c r="Q300" i="8"/>
  <c r="P300" i="8"/>
  <c r="S300" i="8" s="1"/>
  <c r="T300" i="8" s="1"/>
  <c r="R299" i="8"/>
  <c r="Q299" i="8"/>
  <c r="P299" i="8"/>
  <c r="R298" i="8"/>
  <c r="Q298" i="8"/>
  <c r="P298" i="8"/>
  <c r="R297" i="8"/>
  <c r="Q297" i="8"/>
  <c r="P297" i="8"/>
  <c r="S297" i="8" s="1"/>
  <c r="T297" i="8" s="1"/>
  <c r="T296" i="8"/>
  <c r="S296" i="8"/>
  <c r="R296" i="8"/>
  <c r="Q296" i="8"/>
  <c r="P296" i="8"/>
  <c r="R295" i="8"/>
  <c r="Q295" i="8"/>
  <c r="P295" i="8"/>
  <c r="R294" i="8"/>
  <c r="Q294" i="8"/>
  <c r="P294" i="8"/>
  <c r="R293" i="8"/>
  <c r="Q293" i="8"/>
  <c r="P293" i="8"/>
  <c r="S293" i="8" s="1"/>
  <c r="T293" i="8" s="1"/>
  <c r="R292" i="8"/>
  <c r="Q292" i="8"/>
  <c r="P292" i="8"/>
  <c r="R291" i="8"/>
  <c r="Q291" i="8"/>
  <c r="P291" i="8"/>
  <c r="R290" i="8"/>
  <c r="Q290" i="8"/>
  <c r="P290" i="8"/>
  <c r="S290" i="8" s="1"/>
  <c r="T290" i="8" s="1"/>
  <c r="S289" i="8"/>
  <c r="T289" i="8" s="1"/>
  <c r="R289" i="8"/>
  <c r="Q289" i="8"/>
  <c r="P289" i="8"/>
  <c r="R288" i="8"/>
  <c r="Q288" i="8"/>
  <c r="P288" i="8"/>
  <c r="R287" i="8"/>
  <c r="Q287" i="8"/>
  <c r="P287" i="8"/>
  <c r="R286" i="8"/>
  <c r="Q286" i="8"/>
  <c r="P286" i="8"/>
  <c r="S286" i="8" s="1"/>
  <c r="T286" i="8" s="1"/>
  <c r="R285" i="8"/>
  <c r="Q285" i="8"/>
  <c r="P285" i="8"/>
  <c r="R284" i="8"/>
  <c r="Q284" i="8"/>
  <c r="P284" i="8"/>
  <c r="R283" i="8"/>
  <c r="Q283" i="8"/>
  <c r="P283" i="8"/>
  <c r="S283" i="8" s="1"/>
  <c r="T283" i="8" s="1"/>
  <c r="R282" i="8"/>
  <c r="Q282" i="8"/>
  <c r="P282" i="8"/>
  <c r="R281" i="8"/>
  <c r="Q281" i="8"/>
  <c r="P281" i="8"/>
  <c r="R280" i="8"/>
  <c r="Q280" i="8"/>
  <c r="P280" i="8"/>
  <c r="S279" i="8"/>
  <c r="T279" i="8" s="1"/>
  <c r="R279" i="8"/>
  <c r="Q279" i="8"/>
  <c r="P279" i="8"/>
  <c r="R278" i="8"/>
  <c r="Q278" i="8"/>
  <c r="P278" i="8"/>
  <c r="R277" i="8"/>
  <c r="Q277" i="8"/>
  <c r="P277" i="8"/>
  <c r="R276" i="8"/>
  <c r="Q276" i="8"/>
  <c r="P276" i="8"/>
  <c r="S276" i="8" s="1"/>
  <c r="T276" i="8" s="1"/>
  <c r="R275" i="8"/>
  <c r="Q275" i="8"/>
  <c r="P275" i="8"/>
  <c r="R274" i="8"/>
  <c r="Q274" i="8"/>
  <c r="P274" i="8"/>
  <c r="R273" i="8"/>
  <c r="Q273" i="8"/>
  <c r="P273" i="8"/>
  <c r="S273" i="8" s="1"/>
  <c r="T273" i="8" s="1"/>
  <c r="S272" i="8"/>
  <c r="T272" i="8" s="1"/>
  <c r="R272" i="8"/>
  <c r="Q272" i="8"/>
  <c r="P272" i="8"/>
  <c r="R271" i="8"/>
  <c r="Q271" i="8"/>
  <c r="P271" i="8"/>
  <c r="R270" i="8"/>
  <c r="Q270" i="8"/>
  <c r="P270" i="8"/>
  <c r="R269" i="8"/>
  <c r="Q269" i="8"/>
  <c r="P269" i="8"/>
  <c r="S269" i="8" s="1"/>
  <c r="T269" i="8" s="1"/>
  <c r="R268" i="8"/>
  <c r="Q268" i="8"/>
  <c r="P268" i="8"/>
  <c r="R267" i="8"/>
  <c r="Q267" i="8"/>
  <c r="P267" i="8"/>
  <c r="R266" i="8"/>
  <c r="Q266" i="8"/>
  <c r="P266" i="8"/>
  <c r="S266" i="8" s="1"/>
  <c r="T266" i="8" s="1"/>
  <c r="S265" i="8"/>
  <c r="T265" i="8" s="1"/>
  <c r="R265" i="8"/>
  <c r="Q265" i="8"/>
  <c r="P265" i="8"/>
  <c r="R264" i="8"/>
  <c r="Q264" i="8"/>
  <c r="P264" i="8"/>
  <c r="R263" i="8"/>
  <c r="Q263" i="8"/>
  <c r="P263" i="8"/>
  <c r="R262" i="8"/>
  <c r="Q262" i="8"/>
  <c r="P262" i="8"/>
  <c r="S262" i="8" s="1"/>
  <c r="T262" i="8" s="1"/>
  <c r="R261" i="8"/>
  <c r="Q261" i="8"/>
  <c r="P261" i="8"/>
  <c r="R260" i="8"/>
  <c r="Q260" i="8"/>
  <c r="P260" i="8"/>
  <c r="R259" i="8"/>
  <c r="Q259" i="8"/>
  <c r="P259" i="8"/>
  <c r="S259" i="8" s="1"/>
  <c r="T259" i="8" s="1"/>
  <c r="R258" i="8"/>
  <c r="Q258" i="8"/>
  <c r="P258" i="8"/>
  <c r="R257" i="8"/>
  <c r="Q257" i="8"/>
  <c r="P257" i="8"/>
  <c r="R256" i="8"/>
  <c r="Q256" i="8"/>
  <c r="P256" i="8"/>
  <c r="S255" i="8"/>
  <c r="T255" i="8" s="1"/>
  <c r="R255" i="8"/>
  <c r="Q255" i="8"/>
  <c r="P255" i="8"/>
  <c r="R254" i="8"/>
  <c r="Q254" i="8"/>
  <c r="P254" i="8"/>
  <c r="R253" i="8"/>
  <c r="Q253" i="8"/>
  <c r="P253" i="8"/>
  <c r="R252" i="8"/>
  <c r="Q252" i="8"/>
  <c r="P252" i="8"/>
  <c r="S252" i="8" s="1"/>
  <c r="T252" i="8" s="1"/>
  <c r="R251" i="8"/>
  <c r="Q251" i="8"/>
  <c r="P251" i="8"/>
  <c r="R250" i="8"/>
  <c r="Q250" i="8"/>
  <c r="P250" i="8"/>
  <c r="R249" i="8"/>
  <c r="Q249" i="8"/>
  <c r="P249" i="8"/>
  <c r="S249" i="8" s="1"/>
  <c r="T249" i="8" s="1"/>
  <c r="S248" i="8"/>
  <c r="T248" i="8" s="1"/>
  <c r="R248" i="8"/>
  <c r="Q248" i="8"/>
  <c r="P248" i="8"/>
  <c r="R247" i="8"/>
  <c r="Q247" i="8"/>
  <c r="P247" i="8"/>
  <c r="R246" i="8"/>
  <c r="Q246" i="8"/>
  <c r="P246" i="8"/>
  <c r="R245" i="8"/>
  <c r="Q245" i="8"/>
  <c r="P245" i="8"/>
  <c r="S245" i="8" s="1"/>
  <c r="T245" i="8" s="1"/>
  <c r="R244" i="8"/>
  <c r="Q244" i="8"/>
  <c r="P244" i="8"/>
  <c r="R243" i="8"/>
  <c r="Q243" i="8"/>
  <c r="P243" i="8"/>
  <c r="R242" i="8"/>
  <c r="Q242" i="8"/>
  <c r="P242" i="8"/>
  <c r="S242" i="8" s="1"/>
  <c r="T242" i="8" s="1"/>
  <c r="S241" i="8"/>
  <c r="T241" i="8" s="1"/>
  <c r="R241" i="8"/>
  <c r="Q241" i="8"/>
  <c r="P241" i="8"/>
  <c r="R240" i="8"/>
  <c r="Q240" i="8"/>
  <c r="P240" i="8"/>
  <c r="R239" i="8"/>
  <c r="Q239" i="8"/>
  <c r="P239" i="8"/>
  <c r="R238" i="8"/>
  <c r="Q238" i="8"/>
  <c r="P238" i="8"/>
  <c r="S238" i="8" s="1"/>
  <c r="T238" i="8" s="1"/>
  <c r="R237" i="8"/>
  <c r="Q237" i="8"/>
  <c r="P237" i="8"/>
  <c r="R236" i="8"/>
  <c r="Q236" i="8"/>
  <c r="P236" i="8"/>
  <c r="R235" i="8"/>
  <c r="Q235" i="8"/>
  <c r="P235" i="8"/>
  <c r="S235" i="8" s="1"/>
  <c r="T235" i="8" s="1"/>
  <c r="R234" i="8"/>
  <c r="Q234" i="8"/>
  <c r="P234" i="8"/>
  <c r="R233" i="8"/>
  <c r="Q233" i="8"/>
  <c r="P233" i="8"/>
  <c r="R232" i="8"/>
  <c r="Q232" i="8"/>
  <c r="P232" i="8"/>
  <c r="S231" i="8"/>
  <c r="T231" i="8" s="1"/>
  <c r="R231" i="8"/>
  <c r="Q231" i="8"/>
  <c r="P231" i="8"/>
  <c r="R230" i="8"/>
  <c r="Q230" i="8"/>
  <c r="P230" i="8"/>
  <c r="R229" i="8"/>
  <c r="Q229" i="8"/>
  <c r="P229" i="8"/>
  <c r="R228" i="8"/>
  <c r="Q228" i="8"/>
  <c r="P228" i="8"/>
  <c r="S228" i="8" s="1"/>
  <c r="T228" i="8" s="1"/>
  <c r="R227" i="8"/>
  <c r="Q227" i="8"/>
  <c r="P227" i="8"/>
  <c r="R226" i="8"/>
  <c r="Q226" i="8"/>
  <c r="P226" i="8"/>
  <c r="R225" i="8"/>
  <c r="Q225" i="8"/>
  <c r="P225" i="8"/>
  <c r="S225" i="8" s="1"/>
  <c r="T225" i="8" s="1"/>
  <c r="T224" i="8"/>
  <c r="S224" i="8"/>
  <c r="R224" i="8"/>
  <c r="Q224" i="8"/>
  <c r="P224" i="8"/>
  <c r="R223" i="8"/>
  <c r="Q223" i="8"/>
  <c r="P223" i="8"/>
  <c r="R222" i="8"/>
  <c r="Q222" i="8"/>
  <c r="P222" i="8"/>
  <c r="R221" i="8"/>
  <c r="Q221" i="8"/>
  <c r="P221" i="8"/>
  <c r="S221" i="8" s="1"/>
  <c r="T221" i="8" s="1"/>
  <c r="R220" i="8"/>
  <c r="Q220" i="8"/>
  <c r="P220" i="8"/>
  <c r="R219" i="8"/>
  <c r="Q219" i="8"/>
  <c r="P219" i="8"/>
  <c r="R218" i="8"/>
  <c r="Q218" i="8"/>
  <c r="P218" i="8"/>
  <c r="S218" i="8" s="1"/>
  <c r="T218" i="8" s="1"/>
  <c r="S217" i="8"/>
  <c r="T217" i="8" s="1"/>
  <c r="R217" i="8"/>
  <c r="Q217" i="8"/>
  <c r="P217" i="8"/>
  <c r="R216" i="8"/>
  <c r="Q216" i="8"/>
  <c r="P216" i="8"/>
  <c r="R215" i="8"/>
  <c r="Q215" i="8"/>
  <c r="P215" i="8"/>
  <c r="R214" i="8"/>
  <c r="Q214" i="8"/>
  <c r="P214" i="8"/>
  <c r="S214" i="8" s="1"/>
  <c r="T214" i="8" s="1"/>
  <c r="R213" i="8"/>
  <c r="Q213" i="8"/>
  <c r="P213" i="8"/>
  <c r="R212" i="8"/>
  <c r="Q212" i="8"/>
  <c r="P212" i="8"/>
  <c r="R211" i="8"/>
  <c r="Q211" i="8"/>
  <c r="P211" i="8"/>
  <c r="S211" i="8" s="1"/>
  <c r="T211" i="8" s="1"/>
  <c r="R210" i="8"/>
  <c r="Q210" i="8"/>
  <c r="P210" i="8"/>
  <c r="R209" i="8"/>
  <c r="Q209" i="8"/>
  <c r="P209" i="8"/>
  <c r="R208" i="8"/>
  <c r="Q208" i="8"/>
  <c r="P208" i="8"/>
  <c r="S207" i="8"/>
  <c r="T207" i="8" s="1"/>
  <c r="R207" i="8"/>
  <c r="Q207" i="8"/>
  <c r="P207" i="8"/>
  <c r="R206" i="8"/>
  <c r="Q206" i="8"/>
  <c r="P206" i="8"/>
  <c r="R205" i="8"/>
  <c r="Q205" i="8"/>
  <c r="P205" i="8"/>
  <c r="R204" i="8"/>
  <c r="Q204" i="8"/>
  <c r="P204" i="8"/>
  <c r="S204" i="8" s="1"/>
  <c r="T204" i="8" s="1"/>
  <c r="R203" i="8"/>
  <c r="Q203" i="8"/>
  <c r="P203" i="8"/>
  <c r="R202" i="8"/>
  <c r="Q202" i="8"/>
  <c r="P202" i="8"/>
  <c r="R201" i="8"/>
  <c r="Q201" i="8"/>
  <c r="P201" i="8"/>
  <c r="R200" i="8"/>
  <c r="Q200" i="8"/>
  <c r="P200" i="8"/>
  <c r="R199" i="8"/>
  <c r="Q199" i="8"/>
  <c r="P199" i="8"/>
  <c r="R198" i="8"/>
  <c r="Q198" i="8"/>
  <c r="P198" i="8"/>
  <c r="R197" i="8"/>
  <c r="Q197" i="8"/>
  <c r="P197" i="8"/>
  <c r="R196" i="8"/>
  <c r="Q196" i="8"/>
  <c r="P196" i="8"/>
  <c r="R195" i="8"/>
  <c r="Q195" i="8"/>
  <c r="P195" i="8"/>
  <c r="R194" i="8"/>
  <c r="Q194" i="8"/>
  <c r="P194" i="8"/>
  <c r="R193" i="8"/>
  <c r="Q193" i="8"/>
  <c r="P193" i="8"/>
  <c r="R192" i="8"/>
  <c r="Q192" i="8"/>
  <c r="P192" i="8"/>
  <c r="R191" i="8"/>
  <c r="Q191" i="8"/>
  <c r="P191" i="8"/>
  <c r="R190" i="8"/>
  <c r="Q190" i="8"/>
  <c r="P190" i="8"/>
  <c r="R189" i="8"/>
  <c r="Q189" i="8"/>
  <c r="P189" i="8"/>
  <c r="R188" i="8"/>
  <c r="Q188" i="8"/>
  <c r="P188" i="8"/>
  <c r="R187" i="8"/>
  <c r="Q187" i="8"/>
  <c r="P187" i="8"/>
  <c r="R186" i="8"/>
  <c r="Q186" i="8"/>
  <c r="P186" i="8"/>
  <c r="R185" i="8"/>
  <c r="Q185" i="8"/>
  <c r="P185" i="8"/>
  <c r="R184" i="8"/>
  <c r="Q184" i="8"/>
  <c r="P184" i="8"/>
  <c r="R183" i="8"/>
  <c r="Q183" i="8"/>
  <c r="P183" i="8"/>
  <c r="R182" i="8"/>
  <c r="Q182" i="8"/>
  <c r="P182" i="8"/>
  <c r="R181" i="8"/>
  <c r="Q181" i="8"/>
  <c r="P181" i="8"/>
  <c r="R180" i="8"/>
  <c r="Q180" i="8"/>
  <c r="P180" i="8"/>
  <c r="R179" i="8"/>
  <c r="Q179" i="8"/>
  <c r="P179" i="8"/>
  <c r="R178" i="8"/>
  <c r="Q178" i="8"/>
  <c r="P178" i="8"/>
  <c r="R177" i="8"/>
  <c r="Q177" i="8"/>
  <c r="P177" i="8"/>
  <c r="R176" i="8"/>
  <c r="Q176" i="8"/>
  <c r="P176" i="8"/>
  <c r="R175" i="8"/>
  <c r="Q175" i="8"/>
  <c r="P175" i="8"/>
  <c r="R174" i="8"/>
  <c r="Q174" i="8"/>
  <c r="P174" i="8"/>
  <c r="R173" i="8"/>
  <c r="Q173" i="8"/>
  <c r="P173" i="8"/>
  <c r="R172" i="8"/>
  <c r="Q172" i="8"/>
  <c r="P172" i="8"/>
  <c r="R171" i="8"/>
  <c r="Q171" i="8"/>
  <c r="P171" i="8"/>
  <c r="R170" i="8"/>
  <c r="Q170" i="8"/>
  <c r="P170" i="8"/>
  <c r="R169" i="8"/>
  <c r="Q169" i="8"/>
  <c r="P169" i="8"/>
  <c r="R168" i="8"/>
  <c r="Q168" i="8"/>
  <c r="P168" i="8"/>
  <c r="R167" i="8"/>
  <c r="Q167" i="8"/>
  <c r="P167" i="8"/>
  <c r="R166" i="8"/>
  <c r="Q166" i="8"/>
  <c r="P166" i="8"/>
  <c r="R165" i="8"/>
  <c r="Q165" i="8"/>
  <c r="P165" i="8"/>
  <c r="R164" i="8"/>
  <c r="Q164" i="8"/>
  <c r="P164" i="8"/>
  <c r="R163" i="8"/>
  <c r="Q163" i="8"/>
  <c r="P163" i="8"/>
  <c r="R162" i="8"/>
  <c r="Q162" i="8"/>
  <c r="P162" i="8"/>
  <c r="R161" i="8"/>
  <c r="Q161" i="8"/>
  <c r="P161" i="8"/>
  <c r="R160" i="8"/>
  <c r="Q160" i="8"/>
  <c r="P160" i="8"/>
  <c r="R159" i="8"/>
  <c r="Q159" i="8"/>
  <c r="P159" i="8"/>
  <c r="R158" i="8"/>
  <c r="Q158" i="8"/>
  <c r="P158" i="8"/>
  <c r="R157" i="8"/>
  <c r="Q157" i="8"/>
  <c r="P157" i="8"/>
  <c r="R156" i="8"/>
  <c r="Q156" i="8"/>
  <c r="P156" i="8"/>
  <c r="R155" i="8"/>
  <c r="Q155" i="8"/>
  <c r="P155" i="8"/>
  <c r="R154" i="8"/>
  <c r="Q154" i="8"/>
  <c r="P154" i="8"/>
  <c r="R153" i="8"/>
  <c r="Q153" i="8"/>
  <c r="P153" i="8"/>
  <c r="R152" i="8"/>
  <c r="Q152" i="8"/>
  <c r="P152" i="8"/>
  <c r="R151" i="8"/>
  <c r="Q151" i="8"/>
  <c r="P151" i="8"/>
  <c r="R150" i="8"/>
  <c r="Q150" i="8"/>
  <c r="P150" i="8"/>
  <c r="R149" i="8"/>
  <c r="Q149" i="8"/>
  <c r="P149" i="8"/>
  <c r="R148" i="8"/>
  <c r="Q148" i="8"/>
  <c r="P148" i="8"/>
  <c r="R147" i="8"/>
  <c r="Q147" i="8"/>
  <c r="P147" i="8"/>
  <c r="R146" i="8"/>
  <c r="Q146" i="8"/>
  <c r="P146" i="8"/>
  <c r="R145" i="8"/>
  <c r="Q145" i="8"/>
  <c r="P145" i="8"/>
  <c r="R144" i="8"/>
  <c r="Q144" i="8"/>
  <c r="P144" i="8"/>
  <c r="R143" i="8"/>
  <c r="Q143" i="8"/>
  <c r="P143" i="8"/>
  <c r="R142" i="8"/>
  <c r="Q142" i="8"/>
  <c r="P142" i="8"/>
  <c r="R141" i="8"/>
  <c r="Q141" i="8"/>
  <c r="P141" i="8"/>
  <c r="R140" i="8"/>
  <c r="Q140" i="8"/>
  <c r="P140" i="8"/>
  <c r="R139" i="8"/>
  <c r="Q139" i="8"/>
  <c r="P139" i="8"/>
  <c r="R138" i="8"/>
  <c r="Q138" i="8"/>
  <c r="P138" i="8"/>
  <c r="R137" i="8"/>
  <c r="Q137" i="8"/>
  <c r="P137" i="8"/>
  <c r="R136" i="8"/>
  <c r="Q136" i="8"/>
  <c r="P136" i="8"/>
  <c r="R135" i="8"/>
  <c r="Q135" i="8"/>
  <c r="P135" i="8"/>
  <c r="R134" i="8"/>
  <c r="Q134" i="8"/>
  <c r="P134" i="8"/>
  <c r="R133" i="8"/>
  <c r="Q133" i="8"/>
  <c r="P133" i="8"/>
  <c r="R132" i="8"/>
  <c r="Q132" i="8"/>
  <c r="P132" i="8"/>
  <c r="R131" i="8"/>
  <c r="Q131" i="8"/>
  <c r="P131" i="8"/>
  <c r="R130" i="8"/>
  <c r="Q130" i="8"/>
  <c r="P130" i="8"/>
  <c r="R129" i="8"/>
  <c r="Q129" i="8"/>
  <c r="P129" i="8"/>
  <c r="R128" i="8"/>
  <c r="Q128" i="8"/>
  <c r="P128" i="8"/>
  <c r="R127" i="8"/>
  <c r="Q127" i="8"/>
  <c r="P127" i="8"/>
  <c r="R126" i="8"/>
  <c r="Q126" i="8"/>
  <c r="P126" i="8"/>
  <c r="R125" i="8"/>
  <c r="Q125" i="8"/>
  <c r="P125" i="8"/>
  <c r="R124" i="8"/>
  <c r="Q124" i="8"/>
  <c r="P124" i="8"/>
  <c r="R123" i="8"/>
  <c r="Q123" i="8"/>
  <c r="P123" i="8"/>
  <c r="R122" i="8"/>
  <c r="Q122" i="8"/>
  <c r="P122" i="8"/>
  <c r="R121" i="8"/>
  <c r="Q121" i="8"/>
  <c r="P121" i="8"/>
  <c r="R120" i="8"/>
  <c r="Q120" i="8"/>
  <c r="P120" i="8"/>
  <c r="R119" i="8"/>
  <c r="Q119" i="8"/>
  <c r="P119" i="8"/>
  <c r="R118" i="8"/>
  <c r="Q118" i="8"/>
  <c r="P118" i="8"/>
  <c r="R117" i="8"/>
  <c r="Q117" i="8"/>
  <c r="P117" i="8"/>
  <c r="R116" i="8"/>
  <c r="Q116" i="8"/>
  <c r="P116" i="8"/>
  <c r="R115" i="8"/>
  <c r="Q115" i="8"/>
  <c r="P115" i="8"/>
  <c r="R114" i="8"/>
  <c r="Q114" i="8"/>
  <c r="P114" i="8"/>
  <c r="R113" i="8"/>
  <c r="Q113" i="8"/>
  <c r="P113" i="8"/>
  <c r="R112" i="8"/>
  <c r="Q112" i="8"/>
  <c r="P112" i="8"/>
  <c r="R111" i="8"/>
  <c r="Q111" i="8"/>
  <c r="P111" i="8"/>
  <c r="R110" i="8"/>
  <c r="Q110" i="8"/>
  <c r="P110" i="8"/>
  <c r="R109" i="8"/>
  <c r="Q109" i="8"/>
  <c r="P109" i="8"/>
  <c r="R108" i="8"/>
  <c r="Q108" i="8"/>
  <c r="P108" i="8"/>
  <c r="R107" i="8"/>
  <c r="Q107" i="8"/>
  <c r="P107" i="8"/>
  <c r="R106" i="8"/>
  <c r="Q106" i="8"/>
  <c r="P106" i="8"/>
  <c r="R105" i="8"/>
  <c r="Q105" i="8"/>
  <c r="P105" i="8"/>
  <c r="R104" i="8"/>
  <c r="Q104" i="8"/>
  <c r="P104" i="8"/>
  <c r="R103" i="8"/>
  <c r="Q103" i="8"/>
  <c r="P103" i="8"/>
  <c r="R102" i="8"/>
  <c r="Q102" i="8"/>
  <c r="P102" i="8"/>
  <c r="R101" i="8"/>
  <c r="Q101" i="8"/>
  <c r="P101" i="8"/>
  <c r="R100" i="8"/>
  <c r="Q100" i="8"/>
  <c r="P100" i="8"/>
  <c r="R99" i="8"/>
  <c r="Q99" i="8"/>
  <c r="P99" i="8"/>
  <c r="R98" i="8"/>
  <c r="Q98" i="8"/>
  <c r="P98" i="8"/>
  <c r="R97" i="8"/>
  <c r="Q97" i="8"/>
  <c r="P97" i="8"/>
  <c r="R96" i="8"/>
  <c r="Q96" i="8"/>
  <c r="P96" i="8"/>
  <c r="R95" i="8"/>
  <c r="Q95" i="8"/>
  <c r="P95" i="8"/>
  <c r="R94" i="8"/>
  <c r="Q94" i="8"/>
  <c r="P94" i="8"/>
  <c r="R93" i="8"/>
  <c r="Q93" i="8"/>
  <c r="P93" i="8"/>
  <c r="R92" i="8"/>
  <c r="Q92" i="8"/>
  <c r="P92" i="8"/>
  <c r="R91" i="8"/>
  <c r="Q91" i="8"/>
  <c r="P91" i="8"/>
  <c r="R90" i="8"/>
  <c r="Q90" i="8"/>
  <c r="P90" i="8"/>
  <c r="R89" i="8"/>
  <c r="Q89" i="8"/>
  <c r="P89" i="8"/>
  <c r="R88" i="8"/>
  <c r="Q88" i="8"/>
  <c r="P88" i="8"/>
  <c r="R87" i="8"/>
  <c r="Q87" i="8"/>
  <c r="P87" i="8"/>
  <c r="R86" i="8"/>
  <c r="Q86" i="8"/>
  <c r="P86" i="8"/>
  <c r="R85" i="8"/>
  <c r="Q85" i="8"/>
  <c r="P85" i="8"/>
  <c r="R84" i="8"/>
  <c r="Q84" i="8"/>
  <c r="P84" i="8"/>
  <c r="R83" i="8"/>
  <c r="Q83" i="8"/>
  <c r="P83" i="8"/>
  <c r="R82" i="8"/>
  <c r="Q82" i="8"/>
  <c r="P82" i="8"/>
  <c r="R81" i="8"/>
  <c r="Q81" i="8"/>
  <c r="P81" i="8"/>
  <c r="R80" i="8"/>
  <c r="Q80" i="8"/>
  <c r="P80" i="8"/>
  <c r="R79" i="8"/>
  <c r="Q79" i="8"/>
  <c r="P79" i="8"/>
  <c r="R78" i="8"/>
  <c r="Q78" i="8"/>
  <c r="P78" i="8"/>
  <c r="R77" i="8"/>
  <c r="Q77" i="8"/>
  <c r="P77" i="8"/>
  <c r="R76" i="8"/>
  <c r="Q76" i="8"/>
  <c r="P76" i="8"/>
  <c r="R75" i="8"/>
  <c r="Q75" i="8"/>
  <c r="P75" i="8"/>
  <c r="R74" i="8"/>
  <c r="Q74" i="8"/>
  <c r="P74" i="8"/>
  <c r="R73" i="8"/>
  <c r="Q73" i="8"/>
  <c r="P73" i="8"/>
  <c r="R72" i="8"/>
  <c r="Q72" i="8"/>
  <c r="P72" i="8"/>
  <c r="R71" i="8"/>
  <c r="Q71" i="8"/>
  <c r="P71" i="8"/>
  <c r="R70" i="8"/>
  <c r="Q70" i="8"/>
  <c r="P70" i="8"/>
  <c r="R69" i="8"/>
  <c r="Q69" i="8"/>
  <c r="P69" i="8"/>
  <c r="R68" i="8"/>
  <c r="Q68" i="8"/>
  <c r="P68" i="8"/>
  <c r="R67" i="8"/>
  <c r="Q67" i="8"/>
  <c r="P67" i="8"/>
  <c r="R66" i="8"/>
  <c r="Q66" i="8"/>
  <c r="P66" i="8"/>
  <c r="R65" i="8"/>
  <c r="Q65" i="8"/>
  <c r="P65" i="8"/>
  <c r="R64" i="8"/>
  <c r="Q64" i="8"/>
  <c r="P64" i="8"/>
  <c r="R63" i="8"/>
  <c r="Q63" i="8"/>
  <c r="P63" i="8"/>
  <c r="R62" i="8"/>
  <c r="Q62" i="8"/>
  <c r="P62" i="8"/>
  <c r="R61" i="8"/>
  <c r="Q61" i="8"/>
  <c r="P61" i="8"/>
  <c r="R60" i="8"/>
  <c r="Q60" i="8"/>
  <c r="P60" i="8"/>
  <c r="R59" i="8"/>
  <c r="Q59" i="8"/>
  <c r="P59" i="8"/>
  <c r="R58" i="8"/>
  <c r="Q58" i="8"/>
  <c r="P58" i="8"/>
  <c r="R57" i="8"/>
  <c r="Q57" i="8"/>
  <c r="P57" i="8"/>
  <c r="R56" i="8"/>
  <c r="Q56" i="8"/>
  <c r="P56" i="8"/>
  <c r="R55" i="8"/>
  <c r="Q55" i="8"/>
  <c r="P55" i="8"/>
  <c r="R54" i="8"/>
  <c r="Q54" i="8"/>
  <c r="P54" i="8"/>
  <c r="R53" i="8"/>
  <c r="Q53" i="8"/>
  <c r="P53" i="8"/>
  <c r="R52" i="8"/>
  <c r="Q52" i="8"/>
  <c r="P52" i="8"/>
  <c r="R51" i="8"/>
  <c r="Q51" i="8"/>
  <c r="P51" i="8"/>
  <c r="R50" i="8"/>
  <c r="Q50" i="8"/>
  <c r="P50" i="8"/>
  <c r="R49" i="8"/>
  <c r="Q49" i="8"/>
  <c r="P49" i="8"/>
  <c r="R48" i="8"/>
  <c r="Q48" i="8"/>
  <c r="P48" i="8"/>
  <c r="R47" i="8"/>
  <c r="Q47" i="8"/>
  <c r="P47" i="8"/>
  <c r="R46" i="8"/>
  <c r="Q46" i="8"/>
  <c r="P46" i="8"/>
  <c r="R45" i="8"/>
  <c r="Q45" i="8"/>
  <c r="P45" i="8"/>
  <c r="R44" i="8"/>
  <c r="Q44" i="8"/>
  <c r="P44" i="8"/>
  <c r="R43" i="8"/>
  <c r="Q43" i="8"/>
  <c r="P43" i="8"/>
  <c r="R42" i="8"/>
  <c r="Q42" i="8"/>
  <c r="P42" i="8"/>
  <c r="R41" i="8"/>
  <c r="Q41" i="8"/>
  <c r="P41" i="8"/>
  <c r="R40" i="8"/>
  <c r="Q40" i="8"/>
  <c r="P40" i="8"/>
  <c r="R39" i="8"/>
  <c r="Q39" i="8"/>
  <c r="P39" i="8"/>
  <c r="R38" i="8"/>
  <c r="Q38" i="8"/>
  <c r="P38" i="8"/>
  <c r="R37" i="8"/>
  <c r="Q37" i="8"/>
  <c r="P37" i="8"/>
  <c r="R36" i="8"/>
  <c r="Q36" i="8"/>
  <c r="P36" i="8"/>
  <c r="R35" i="8"/>
  <c r="Q35" i="8"/>
  <c r="P35" i="8"/>
  <c r="R34" i="8"/>
  <c r="Q34" i="8"/>
  <c r="P34" i="8"/>
  <c r="R33" i="8"/>
  <c r="Q33" i="8"/>
  <c r="P33" i="8"/>
  <c r="R32" i="8"/>
  <c r="Q32" i="8"/>
  <c r="P32" i="8"/>
  <c r="R31" i="8"/>
  <c r="Q31" i="8"/>
  <c r="P31" i="8"/>
  <c r="R30" i="8"/>
  <c r="Q30" i="8"/>
  <c r="P30" i="8"/>
  <c r="R29" i="8"/>
  <c r="Q29" i="8"/>
  <c r="P29" i="8"/>
  <c r="R28" i="8"/>
  <c r="Q28" i="8"/>
  <c r="P28" i="8"/>
  <c r="R27" i="8"/>
  <c r="Q27" i="8"/>
  <c r="P27" i="8"/>
  <c r="R26" i="8"/>
  <c r="Q26" i="8"/>
  <c r="P26" i="8"/>
  <c r="R25" i="8"/>
  <c r="Q25" i="8"/>
  <c r="P25" i="8"/>
  <c r="R24" i="8"/>
  <c r="Q24" i="8"/>
  <c r="P24" i="8"/>
  <c r="R23" i="8"/>
  <c r="Q23" i="8"/>
  <c r="P23" i="8"/>
  <c r="R22" i="8"/>
  <c r="Q22" i="8"/>
  <c r="P22" i="8"/>
  <c r="R21" i="8"/>
  <c r="Q21" i="8"/>
  <c r="P21" i="8"/>
  <c r="R20" i="8"/>
  <c r="Q20" i="8"/>
  <c r="P20" i="8"/>
  <c r="R19" i="8"/>
  <c r="Q19" i="8"/>
  <c r="P19" i="8"/>
  <c r="R18" i="8"/>
  <c r="Q18" i="8"/>
  <c r="P18" i="8"/>
  <c r="R17" i="8"/>
  <c r="Q17" i="8"/>
  <c r="P17" i="8"/>
  <c r="R16" i="8"/>
  <c r="Q16" i="8"/>
  <c r="P16" i="8"/>
  <c r="R15" i="8"/>
  <c r="Q15" i="8"/>
  <c r="P15" i="8"/>
  <c r="R14" i="8"/>
  <c r="Q14" i="8"/>
  <c r="P14" i="8"/>
  <c r="R13" i="8"/>
  <c r="Q13" i="8"/>
  <c r="P13" i="8"/>
  <c r="R12" i="8"/>
  <c r="Q12" i="8"/>
  <c r="P12" i="8"/>
  <c r="R11" i="8"/>
  <c r="Q11" i="8"/>
  <c r="P11" i="8"/>
  <c r="R10" i="8"/>
  <c r="Q10" i="8"/>
  <c r="P10" i="8"/>
  <c r="R9" i="8"/>
  <c r="Q9" i="8"/>
  <c r="P9" i="8"/>
  <c r="R8" i="8"/>
  <c r="Q8" i="8"/>
  <c r="P8" i="8"/>
  <c r="R7" i="8"/>
  <c r="Q7" i="8"/>
  <c r="P7" i="8"/>
  <c r="R6" i="8"/>
  <c r="Q6" i="8"/>
  <c r="P6" i="8"/>
  <c r="R5" i="8"/>
  <c r="Q5" i="8"/>
  <c r="P5" i="8"/>
  <c r="R4" i="8"/>
  <c r="Q4" i="8"/>
  <c r="P4" i="8"/>
  <c r="R3" i="8"/>
  <c r="Q3" i="8"/>
  <c r="P3" i="8"/>
  <c r="R2" i="8"/>
  <c r="Q2" i="8"/>
  <c r="P2" i="8"/>
  <c r="H31" i="6"/>
  <c r="F31" i="6"/>
  <c r="G31" i="6" s="1"/>
  <c r="E31" i="6"/>
  <c r="D31" i="6"/>
  <c r="C31" i="6"/>
  <c r="H30" i="6"/>
  <c r="E30" i="6"/>
  <c r="F30" i="6" s="1"/>
  <c r="D30" i="6"/>
  <c r="C30" i="6"/>
  <c r="H29" i="6"/>
  <c r="F29" i="6"/>
  <c r="G29" i="6" s="1"/>
  <c r="E29" i="6"/>
  <c r="D29" i="6"/>
  <c r="C29" i="6"/>
  <c r="H28" i="6"/>
  <c r="E28" i="6"/>
  <c r="F28" i="6" s="1"/>
  <c r="D28" i="6"/>
  <c r="C28" i="6"/>
  <c r="H27" i="6"/>
  <c r="E27" i="6"/>
  <c r="F27" i="6" s="1"/>
  <c r="G27" i="6" s="1"/>
  <c r="D27" i="6"/>
  <c r="C27" i="6"/>
  <c r="H26" i="6"/>
  <c r="E26" i="6"/>
  <c r="F26" i="6" s="1"/>
  <c r="C32" i="1" s="1"/>
  <c r="D26" i="6"/>
  <c r="C26" i="6"/>
  <c r="H25" i="6"/>
  <c r="E25" i="6"/>
  <c r="F25" i="6" s="1"/>
  <c r="D25" i="6"/>
  <c r="C25" i="6"/>
  <c r="H24" i="6"/>
  <c r="E24" i="6"/>
  <c r="D24" i="6"/>
  <c r="C24" i="6"/>
  <c r="H20" i="6"/>
  <c r="E20" i="6"/>
  <c r="F20" i="6" s="1"/>
  <c r="G20" i="6" s="1"/>
  <c r="D20" i="6"/>
  <c r="C20" i="6"/>
  <c r="H19" i="6"/>
  <c r="E19" i="6"/>
  <c r="F19" i="6" s="1"/>
  <c r="G19" i="6" s="1"/>
  <c r="D19" i="6"/>
  <c r="C19" i="6"/>
  <c r="H18" i="6"/>
  <c r="E18" i="6"/>
  <c r="F18" i="6" s="1"/>
  <c r="G18" i="6" s="1"/>
  <c r="D18" i="6"/>
  <c r="C18" i="6"/>
  <c r="H17" i="6"/>
  <c r="E17" i="6"/>
  <c r="F17" i="6" s="1"/>
  <c r="D17" i="6"/>
  <c r="C17" i="6"/>
  <c r="H16" i="6"/>
  <c r="G16" i="6"/>
  <c r="F16" i="6"/>
  <c r="E16" i="6"/>
  <c r="D16" i="6"/>
  <c r="C16" i="6"/>
  <c r="H15" i="6"/>
  <c r="E15" i="6"/>
  <c r="F15" i="6" s="1"/>
  <c r="D15" i="6"/>
  <c r="C15" i="6"/>
  <c r="H14" i="6"/>
  <c r="E14" i="6"/>
  <c r="F14" i="6" s="1"/>
  <c r="G14" i="6" s="1"/>
  <c r="D14" i="6"/>
  <c r="C14" i="6"/>
  <c r="H13" i="6"/>
  <c r="E13" i="6"/>
  <c r="F13" i="6" s="1"/>
  <c r="D13" i="6"/>
  <c r="C13" i="6"/>
  <c r="H12" i="6"/>
  <c r="F12" i="6"/>
  <c r="G12" i="6" s="1"/>
  <c r="E12" i="6"/>
  <c r="D12" i="6"/>
  <c r="C12" i="6"/>
  <c r="H11" i="6"/>
  <c r="E11" i="6"/>
  <c r="F11" i="6" s="1"/>
  <c r="C28" i="1" s="1"/>
  <c r="D11" i="6"/>
  <c r="C11" i="6"/>
  <c r="H10" i="6"/>
  <c r="E10" i="6"/>
  <c r="F10" i="6" s="1"/>
  <c r="D10" i="6"/>
  <c r="C10" i="6"/>
  <c r="E27" i="1" s="1"/>
  <c r="G61" i="4"/>
  <c r="E61" i="4"/>
  <c r="F61" i="4" s="1"/>
  <c r="D61" i="4"/>
  <c r="E60" i="4"/>
  <c r="F60" i="4" s="1"/>
  <c r="D60" i="4"/>
  <c r="G60" i="4" s="1"/>
  <c r="G59" i="4"/>
  <c r="E59" i="4"/>
  <c r="F59" i="4" s="1"/>
  <c r="D59" i="4"/>
  <c r="E58" i="4"/>
  <c r="F58" i="4" s="1"/>
  <c r="D58" i="4"/>
  <c r="G58" i="4" s="1"/>
  <c r="E57" i="4"/>
  <c r="D57" i="4"/>
  <c r="G57" i="4" s="1"/>
  <c r="G56" i="4"/>
  <c r="F56" i="4"/>
  <c r="E56" i="4"/>
  <c r="D56" i="4"/>
  <c r="E55" i="4"/>
  <c r="D55" i="4"/>
  <c r="G55" i="4" s="1"/>
  <c r="E54" i="4"/>
  <c r="D54" i="4"/>
  <c r="G52" i="4"/>
  <c r="E52" i="4"/>
  <c r="F52" i="4" s="1"/>
  <c r="D52" i="4"/>
  <c r="E51" i="4"/>
  <c r="D51" i="4"/>
  <c r="E50" i="4"/>
  <c r="E49" i="4"/>
  <c r="D49" i="4"/>
  <c r="G49" i="4" s="1"/>
  <c r="E48" i="4"/>
  <c r="F48" i="4" s="1"/>
  <c r="D48" i="4"/>
  <c r="G46" i="4"/>
  <c r="E46" i="4"/>
  <c r="F46" i="4" s="1"/>
  <c r="D46" i="4"/>
  <c r="E45" i="4"/>
  <c r="D45" i="4"/>
  <c r="G45" i="4" s="1"/>
  <c r="E44" i="4"/>
  <c r="E47" i="4" s="1"/>
  <c r="F47" i="4" s="1"/>
  <c r="D44" i="4"/>
  <c r="D47" i="4" s="1"/>
  <c r="G47" i="4" s="1"/>
  <c r="G43" i="4"/>
  <c r="F43" i="4"/>
  <c r="E43" i="4"/>
  <c r="D43" i="4"/>
  <c r="E42" i="4"/>
  <c r="F42" i="4" s="1"/>
  <c r="D42" i="4"/>
  <c r="G42" i="4" s="1"/>
  <c r="G40" i="4"/>
  <c r="F40" i="4"/>
  <c r="E40" i="4"/>
  <c r="D40" i="4"/>
  <c r="E39" i="4"/>
  <c r="D39" i="4"/>
  <c r="G39" i="4" s="1"/>
  <c r="E38" i="4"/>
  <c r="F38" i="4" s="1"/>
  <c r="D38" i="4"/>
  <c r="G38" i="4" s="1"/>
  <c r="G36" i="4"/>
  <c r="E36" i="4"/>
  <c r="D36" i="4"/>
  <c r="F36" i="4" s="1"/>
  <c r="E35" i="4"/>
  <c r="F35" i="4" s="1"/>
  <c r="D35" i="4"/>
  <c r="G35" i="4" s="1"/>
  <c r="G34" i="4"/>
  <c r="E34" i="4"/>
  <c r="F34" i="4" s="1"/>
  <c r="D34" i="4"/>
  <c r="E33" i="4"/>
  <c r="F33" i="4" s="1"/>
  <c r="D33" i="4"/>
  <c r="C12" i="4"/>
  <c r="K11" i="4"/>
  <c r="I11" i="4"/>
  <c r="D11" i="4"/>
  <c r="C11" i="4"/>
  <c r="B11" i="4"/>
  <c r="K10" i="4"/>
  <c r="I10" i="4"/>
  <c r="F10" i="4" a="1"/>
  <c r="F10" i="4" s="1"/>
  <c r="D10" i="4"/>
  <c r="C10" i="4"/>
  <c r="B10" i="4"/>
  <c r="K9" i="4"/>
  <c r="F9" i="4" a="1"/>
  <c r="F9" i="4"/>
  <c r="D9" i="4"/>
  <c r="I9" i="4" s="1"/>
  <c r="C9" i="4"/>
  <c r="B9" i="4"/>
  <c r="K8" i="4"/>
  <c r="D8" i="4"/>
  <c r="I8" i="4" s="1"/>
  <c r="C8" i="4"/>
  <c r="B8" i="4"/>
  <c r="K7" i="4"/>
  <c r="I7" i="4"/>
  <c r="D7" i="4"/>
  <c r="C7" i="4"/>
  <c r="B7" i="4"/>
  <c r="K6" i="4"/>
  <c r="I6" i="4"/>
  <c r="F6" i="4" a="1"/>
  <c r="F6" i="4"/>
  <c r="D6" i="4"/>
  <c r="E10" i="4" s="1"/>
  <c r="C6" i="4"/>
  <c r="B6" i="4"/>
  <c r="F21" i="3" a="1"/>
  <c r="F21" i="3" s="1"/>
  <c r="E21" i="3" a="1"/>
  <c r="E21" i="3"/>
  <c r="D21" i="3"/>
  <c r="G20" i="3" a="1"/>
  <c r="G20" i="3" s="1"/>
  <c r="F20" i="3" a="1"/>
  <c r="F20" i="3"/>
  <c r="E20" i="3" a="1"/>
  <c r="E20" i="3" s="1"/>
  <c r="D20" i="3"/>
  <c r="G19" i="3" a="1"/>
  <c r="G19" i="3" s="1"/>
  <c r="F19" i="3" a="1"/>
  <c r="F19" i="3" s="1"/>
  <c r="E19" i="3" a="1"/>
  <c r="E19" i="3" s="1"/>
  <c r="B17" i="1" s="1"/>
  <c r="D19" i="3"/>
  <c r="F18" i="3" a="1"/>
  <c r="F18" i="3" s="1"/>
  <c r="E18" i="3" a="1"/>
  <c r="E18" i="3"/>
  <c r="D18" i="3"/>
  <c r="G17" i="3" a="1"/>
  <c r="G17" i="3"/>
  <c r="F17" i="3" a="1"/>
  <c r="F17" i="3"/>
  <c r="E17" i="3" a="1"/>
  <c r="E17" i="3"/>
  <c r="E8" i="1" s="1"/>
  <c r="D17" i="3"/>
  <c r="F13" i="2"/>
  <c r="E13" i="2"/>
  <c r="A6" i="6" s="1"/>
  <c r="D13" i="2"/>
  <c r="C13" i="2"/>
  <c r="F12" i="2"/>
  <c r="E12" i="2"/>
  <c r="D12" i="2"/>
  <c r="S291" i="8" s="1"/>
  <c r="T291" i="8" s="1"/>
  <c r="C12" i="2"/>
  <c r="F11" i="2"/>
  <c r="D11" i="2"/>
  <c r="C11" i="2"/>
  <c r="F10" i="2"/>
  <c r="E10" i="2"/>
  <c r="D10" i="2"/>
  <c r="S92" i="8" s="1"/>
  <c r="T92" i="8" s="1"/>
  <c r="C10" i="2"/>
  <c r="E32" i="1"/>
  <c r="D32" i="1"/>
  <c r="A32" i="1"/>
  <c r="E31" i="1"/>
  <c r="D31" i="1"/>
  <c r="A31" i="1"/>
  <c r="E30" i="1"/>
  <c r="A30" i="1"/>
  <c r="E29" i="1"/>
  <c r="D29" i="1"/>
  <c r="A29" i="1"/>
  <c r="E28" i="1"/>
  <c r="A28" i="1"/>
  <c r="D27" i="1"/>
  <c r="A27" i="1"/>
  <c r="B18" i="1"/>
  <c r="A8" i="1"/>
  <c r="D28" i="1" l="1"/>
  <c r="C29" i="1"/>
  <c r="S338" i="8"/>
  <c r="T338" i="8" s="1"/>
  <c r="S342" i="8"/>
  <c r="T342" i="8" s="1"/>
  <c r="S346" i="8"/>
  <c r="T346" i="8" s="1"/>
  <c r="S350" i="8"/>
  <c r="T350" i="8" s="1"/>
  <c r="S354" i="8"/>
  <c r="T354" i="8" s="1"/>
  <c r="S362" i="8"/>
  <c r="T362" i="8" s="1"/>
  <c r="S366" i="8"/>
  <c r="T366" i="8" s="1"/>
  <c r="S370" i="8"/>
  <c r="T370" i="8" s="1"/>
  <c r="S374" i="8"/>
  <c r="T374" i="8" s="1"/>
  <c r="S378" i="8"/>
  <c r="T378" i="8" s="1"/>
  <c r="S382" i="8"/>
  <c r="T382" i="8" s="1"/>
  <c r="S386" i="8"/>
  <c r="T386" i="8" s="1"/>
  <c r="S390" i="8"/>
  <c r="T390" i="8" s="1"/>
  <c r="S394" i="8"/>
  <c r="T394" i="8" s="1"/>
  <c r="S398" i="8"/>
  <c r="T398" i="8" s="1"/>
  <c r="F44" i="4"/>
  <c r="F57" i="4"/>
  <c r="S334" i="8"/>
  <c r="T334" i="8" s="1"/>
  <c r="S358" i="8"/>
  <c r="T358" i="8" s="1"/>
  <c r="S397" i="8"/>
  <c r="T397" i="8" s="1"/>
  <c r="S385" i="8"/>
  <c r="T385" i="8" s="1"/>
  <c r="S373" i="8"/>
  <c r="T373" i="8" s="1"/>
  <c r="S361" i="8"/>
  <c r="T361" i="8" s="1"/>
  <c r="S349" i="8"/>
  <c r="T349" i="8" s="1"/>
  <c r="S337" i="8"/>
  <c r="T337" i="8" s="1"/>
  <c r="S392" i="8"/>
  <c r="T392" i="8" s="1"/>
  <c r="S380" i="8"/>
  <c r="T380" i="8" s="1"/>
  <c r="S368" i="8"/>
  <c r="T368" i="8" s="1"/>
  <c r="S356" i="8"/>
  <c r="T356" i="8" s="1"/>
  <c r="S344" i="8"/>
  <c r="T344" i="8" s="1"/>
  <c r="S332" i="8"/>
  <c r="T332" i="8" s="1"/>
  <c r="S399" i="8"/>
  <c r="T399" i="8" s="1"/>
  <c r="S387" i="8"/>
  <c r="T387" i="8" s="1"/>
  <c r="S375" i="8"/>
  <c r="T375" i="8" s="1"/>
  <c r="S363" i="8"/>
  <c r="T363" i="8" s="1"/>
  <c r="S351" i="8"/>
  <c r="T351" i="8" s="1"/>
  <c r="S339" i="8"/>
  <c r="T339" i="8" s="1"/>
  <c r="S315" i="8"/>
  <c r="T315" i="8" s="1"/>
  <c r="S325" i="8"/>
  <c r="T325" i="8" s="1"/>
  <c r="S308" i="8"/>
  <c r="T308" i="8" s="1"/>
  <c r="E8" i="4"/>
  <c r="D12" i="4"/>
  <c r="D41" i="4"/>
  <c r="G41" i="4" s="1"/>
  <c r="G44" i="4"/>
  <c r="G54" i="4"/>
  <c r="D62" i="4"/>
  <c r="G62" i="4" s="1"/>
  <c r="S19" i="8"/>
  <c r="T19" i="8" s="1"/>
  <c r="S26" i="8"/>
  <c r="T26" i="8" s="1"/>
  <c r="S48" i="8"/>
  <c r="T48" i="8" s="1"/>
  <c r="S66" i="8"/>
  <c r="T66" i="8" s="1"/>
  <c r="S96" i="8"/>
  <c r="T96" i="8" s="1"/>
  <c r="S303" i="8"/>
  <c r="T303" i="8" s="1"/>
  <c r="E37" i="4"/>
  <c r="E41" i="4"/>
  <c r="F41" i="4" s="1"/>
  <c r="S4" i="8"/>
  <c r="T4" i="8" s="1"/>
  <c r="S41" i="8"/>
  <c r="T41" i="8" s="1"/>
  <c r="S44" i="8"/>
  <c r="T44" i="8" s="1"/>
  <c r="S82" i="8"/>
  <c r="T82" i="8" s="1"/>
  <c r="S89" i="8"/>
  <c r="T89" i="8" s="1"/>
  <c r="S81" i="8"/>
  <c r="T81" i="8" s="1"/>
  <c r="S37" i="8"/>
  <c r="T37" i="8" s="1"/>
  <c r="S15" i="8"/>
  <c r="T15" i="8" s="1"/>
  <c r="S9" i="8"/>
  <c r="T9" i="8" s="1"/>
  <c r="S68" i="8"/>
  <c r="T68" i="8" s="1"/>
  <c r="S97" i="8"/>
  <c r="T97" i="8" s="1"/>
  <c r="S49" i="8"/>
  <c r="T49" i="8" s="1"/>
  <c r="S33" i="8"/>
  <c r="T33" i="8" s="1"/>
  <c r="S30" i="8"/>
  <c r="T30" i="8" s="1"/>
  <c r="S27" i="8"/>
  <c r="T27" i="8" s="1"/>
  <c r="S3" i="8"/>
  <c r="S32" i="8"/>
  <c r="T32" i="8" s="1"/>
  <c r="S87" i="8"/>
  <c r="T87" i="8" s="1"/>
  <c r="S93" i="8"/>
  <c r="T93" i="8" s="1"/>
  <c r="S61" i="8"/>
  <c r="T61" i="8" s="1"/>
  <c r="S39" i="8"/>
  <c r="T39" i="8" s="1"/>
  <c r="S99" i="8"/>
  <c r="T99" i="8" s="1"/>
  <c r="S80" i="8"/>
  <c r="T80" i="8" s="1"/>
  <c r="S20" i="8"/>
  <c r="T20" i="8" s="1"/>
  <c r="S8" i="8"/>
  <c r="T8" i="8" s="1"/>
  <c r="S73" i="8"/>
  <c r="T73" i="8" s="1"/>
  <c r="S51" i="8"/>
  <c r="T51" i="8" s="1"/>
  <c r="E62" i="4"/>
  <c r="F62" i="4" s="1"/>
  <c r="A5" i="6"/>
  <c r="D8" i="1"/>
  <c r="F54" i="4"/>
  <c r="S60" i="8"/>
  <c r="T60" i="8" s="1"/>
  <c r="S63" i="8"/>
  <c r="T63" i="8" s="1"/>
  <c r="S85" i="8"/>
  <c r="T85" i="8" s="1"/>
  <c r="S331" i="8"/>
  <c r="T331" i="8" s="1"/>
  <c r="S335" i="8"/>
  <c r="T335" i="8" s="1"/>
  <c r="S343" i="8"/>
  <c r="T343" i="8" s="1"/>
  <c r="S347" i="8"/>
  <c r="T347" i="8" s="1"/>
  <c r="S355" i="8"/>
  <c r="T355" i="8" s="1"/>
  <c r="S359" i="8"/>
  <c r="T359" i="8" s="1"/>
  <c r="S367" i="8"/>
  <c r="T367" i="8" s="1"/>
  <c r="S371" i="8"/>
  <c r="T371" i="8" s="1"/>
  <c r="S379" i="8"/>
  <c r="T379" i="8" s="1"/>
  <c r="S383" i="8"/>
  <c r="T383" i="8" s="1"/>
  <c r="S391" i="8"/>
  <c r="T391" i="8" s="1"/>
  <c r="S395" i="8"/>
  <c r="T395" i="8" s="1"/>
  <c r="S5" i="8"/>
  <c r="T5" i="8" s="1"/>
  <c r="S16" i="8"/>
  <c r="T16" i="8" s="1"/>
  <c r="S38" i="8"/>
  <c r="T38" i="8" s="1"/>
  <c r="S45" i="8"/>
  <c r="T45" i="8" s="1"/>
  <c r="S56" i="8"/>
  <c r="T56" i="8" s="1"/>
  <c r="S86" i="8"/>
  <c r="T86" i="8" s="1"/>
  <c r="S112" i="8"/>
  <c r="T112" i="8" s="1"/>
  <c r="D37" i="4"/>
  <c r="G37" i="4" s="1"/>
  <c r="G10" i="6"/>
  <c r="C27" i="1"/>
  <c r="S2" i="8"/>
  <c r="F11" i="4" a="1"/>
  <c r="F11" i="4" s="1"/>
  <c r="F7" i="4" a="1"/>
  <c r="F7" i="4" s="1"/>
  <c r="F8" i="4" a="1"/>
  <c r="F8" i="4" s="1"/>
  <c r="B16" i="1" s="1"/>
  <c r="F12" i="4"/>
  <c r="S42" i="8"/>
  <c r="T42" i="8" s="1"/>
  <c r="S79" i="8"/>
  <c r="T79" i="8" s="1"/>
  <c r="S180" i="8"/>
  <c r="T180" i="8" s="1"/>
  <c r="S324" i="8"/>
  <c r="T324" i="8" s="1"/>
  <c r="S327" i="8"/>
  <c r="T327" i="8" s="1"/>
  <c r="G51" i="4"/>
  <c r="D53" i="4"/>
  <c r="G53" i="4" s="1"/>
  <c r="F24" i="6"/>
  <c r="D30" i="1"/>
  <c r="S35" i="8"/>
  <c r="T35" i="8" s="1"/>
  <c r="S57" i="8"/>
  <c r="T57" i="8" s="1"/>
  <c r="S75" i="8"/>
  <c r="T75" i="8" s="1"/>
  <c r="S173" i="8"/>
  <c r="T173" i="8" s="1"/>
  <c r="S317" i="8"/>
  <c r="T317" i="8" s="1"/>
  <c r="S320" i="8"/>
  <c r="T320" i="8" s="1"/>
  <c r="E9" i="4"/>
  <c r="E53" i="4"/>
  <c r="F53" i="4" s="1"/>
  <c r="F51" i="4"/>
  <c r="S6" i="8"/>
  <c r="T6" i="8" s="1"/>
  <c r="S10" i="8"/>
  <c r="T10" i="8" s="1"/>
  <c r="S21" i="8"/>
  <c r="T21" i="8" s="1"/>
  <c r="S54" i="8"/>
  <c r="T54" i="8" s="1"/>
  <c r="S102" i="8"/>
  <c r="T102" i="8" s="1"/>
  <c r="E11" i="2"/>
  <c r="S139" i="8"/>
  <c r="T139" i="8" s="1"/>
  <c r="S116" i="8"/>
  <c r="T116" i="8" s="1"/>
  <c r="S13" i="8"/>
  <c r="T13" i="8" s="1"/>
  <c r="S76" i="8"/>
  <c r="T76" i="8" s="1"/>
  <c r="S166" i="8"/>
  <c r="T166" i="8" s="1"/>
  <c r="S310" i="8"/>
  <c r="T310" i="8" s="1"/>
  <c r="S313" i="8"/>
  <c r="T313" i="8" s="1"/>
  <c r="S132" i="8"/>
  <c r="T132" i="8" s="1"/>
  <c r="S314" i="8"/>
  <c r="T314" i="8" s="1"/>
  <c r="C31" i="1"/>
  <c r="G25" i="6"/>
  <c r="S7" i="8"/>
  <c r="T7" i="8" s="1"/>
  <c r="S18" i="8"/>
  <c r="T18" i="8" s="1"/>
  <c r="S22" i="8"/>
  <c r="T22" i="8" s="1"/>
  <c r="S47" i="8"/>
  <c r="T47" i="8" s="1"/>
  <c r="S95" i="8"/>
  <c r="T95" i="8" s="1"/>
  <c r="S118" i="8"/>
  <c r="T118" i="8" s="1"/>
  <c r="S125" i="8"/>
  <c r="T125" i="8" s="1"/>
  <c r="S197" i="8"/>
  <c r="T197" i="8" s="1"/>
  <c r="G18" i="3" a="1"/>
  <c r="G18" i="3" s="1"/>
  <c r="G21" i="3" a="1"/>
  <c r="G21" i="3" s="1"/>
  <c r="B12" i="4"/>
  <c r="G48" i="4"/>
  <c r="D50" i="4"/>
  <c r="S11" i="8"/>
  <c r="T11" i="8" s="1"/>
  <c r="S25" i="8"/>
  <c r="T25" i="8" s="1"/>
  <c r="S29" i="8"/>
  <c r="T29" i="8" s="1"/>
  <c r="S69" i="8"/>
  <c r="T69" i="8" s="1"/>
  <c r="S163" i="8"/>
  <c r="T163" i="8" s="1"/>
  <c r="S307" i="8"/>
  <c r="T307" i="8" s="1"/>
  <c r="G17" i="6"/>
  <c r="S14" i="8"/>
  <c r="T14" i="8" s="1"/>
  <c r="S17" i="8"/>
  <c r="T17" i="8" s="1"/>
  <c r="S36" i="8"/>
  <c r="T36" i="8" s="1"/>
  <c r="S64" i="8"/>
  <c r="T64" i="8" s="1"/>
  <c r="S90" i="8"/>
  <c r="T90" i="8" s="1"/>
  <c r="S109" i="8"/>
  <c r="T109" i="8" s="1"/>
  <c r="S126" i="8"/>
  <c r="T126" i="8" s="1"/>
  <c r="S136" i="8"/>
  <c r="T136" i="8" s="1"/>
  <c r="S143" i="8"/>
  <c r="T143" i="8" s="1"/>
  <c r="S150" i="8"/>
  <c r="T150" i="8" s="1"/>
  <c r="S160" i="8"/>
  <c r="T160" i="8" s="1"/>
  <c r="S167" i="8"/>
  <c r="T167" i="8" s="1"/>
  <c r="S174" i="8"/>
  <c r="T174" i="8" s="1"/>
  <c r="S184" i="8"/>
  <c r="T184" i="8" s="1"/>
  <c r="S191" i="8"/>
  <c r="T191" i="8" s="1"/>
  <c r="S198" i="8"/>
  <c r="T198" i="8" s="1"/>
  <c r="S208" i="8"/>
  <c r="T208" i="8" s="1"/>
  <c r="S215" i="8"/>
  <c r="T215" i="8" s="1"/>
  <c r="S222" i="8"/>
  <c r="T222" i="8" s="1"/>
  <c r="S232" i="8"/>
  <c r="T232" i="8" s="1"/>
  <c r="S239" i="8"/>
  <c r="T239" i="8" s="1"/>
  <c r="S246" i="8"/>
  <c r="T246" i="8" s="1"/>
  <c r="S256" i="8"/>
  <c r="T256" i="8" s="1"/>
  <c r="S263" i="8"/>
  <c r="T263" i="8" s="1"/>
  <c r="S270" i="8"/>
  <c r="T270" i="8" s="1"/>
  <c r="S280" i="8"/>
  <c r="T280" i="8" s="1"/>
  <c r="S287" i="8"/>
  <c r="T287" i="8" s="1"/>
  <c r="S294" i="8"/>
  <c r="T294" i="8" s="1"/>
  <c r="S304" i="8"/>
  <c r="T304" i="8" s="1"/>
  <c r="S311" i="8"/>
  <c r="T311" i="8" s="1"/>
  <c r="S318" i="8"/>
  <c r="T318" i="8" s="1"/>
  <c r="S328" i="8"/>
  <c r="T328" i="8" s="1"/>
  <c r="S55" i="8"/>
  <c r="T55" i="8" s="1"/>
  <c r="S58" i="8"/>
  <c r="T58" i="8" s="1"/>
  <c r="S74" i="8"/>
  <c r="T74" i="8" s="1"/>
  <c r="S77" i="8"/>
  <c r="T77" i="8" s="1"/>
  <c r="S100" i="8"/>
  <c r="T100" i="8" s="1"/>
  <c r="S110" i="8"/>
  <c r="T110" i="8" s="1"/>
  <c r="S113" i="8"/>
  <c r="T113" i="8" s="1"/>
  <c r="S336" i="8"/>
  <c r="T336" i="8" s="1"/>
  <c r="S340" i="8"/>
  <c r="T340" i="8" s="1"/>
  <c r="S348" i="8"/>
  <c r="T348" i="8" s="1"/>
  <c r="S352" i="8"/>
  <c r="T352" i="8" s="1"/>
  <c r="S360" i="8"/>
  <c r="T360" i="8" s="1"/>
  <c r="S364" i="8"/>
  <c r="T364" i="8" s="1"/>
  <c r="S372" i="8"/>
  <c r="T372" i="8" s="1"/>
  <c r="S376" i="8"/>
  <c r="T376" i="8" s="1"/>
  <c r="S384" i="8"/>
  <c r="T384" i="8" s="1"/>
  <c r="S388" i="8"/>
  <c r="T388" i="8" s="1"/>
  <c r="S396" i="8"/>
  <c r="T396" i="8" s="1"/>
  <c r="S400" i="8"/>
  <c r="T400" i="8" s="1"/>
  <c r="S23" i="8"/>
  <c r="T23" i="8" s="1"/>
  <c r="S70" i="8"/>
  <c r="T70" i="8" s="1"/>
  <c r="S103" i="8"/>
  <c r="T103" i="8" s="1"/>
  <c r="S119" i="8"/>
  <c r="T119" i="8" s="1"/>
  <c r="S153" i="8"/>
  <c r="T153" i="8" s="1"/>
  <c r="S177" i="8"/>
  <c r="T177" i="8" s="1"/>
  <c r="S201" i="8"/>
  <c r="T201" i="8" s="1"/>
  <c r="S321" i="8"/>
  <c r="T321" i="8" s="1"/>
  <c r="S129" i="8"/>
  <c r="T129" i="8" s="1"/>
  <c r="E7" i="4"/>
  <c r="E11" i="4"/>
  <c r="A23" i="1" s="1"/>
  <c r="F45" i="4"/>
  <c r="F55" i="4"/>
  <c r="G15" i="6"/>
  <c r="G30" i="6"/>
  <c r="S24" i="8"/>
  <c r="T24" i="8" s="1"/>
  <c r="S52" i="8"/>
  <c r="T52" i="8" s="1"/>
  <c r="S84" i="8"/>
  <c r="T84" i="8" s="1"/>
  <c r="S120" i="8"/>
  <c r="T120" i="8" s="1"/>
  <c r="S130" i="8"/>
  <c r="T130" i="8" s="1"/>
  <c r="S154" i="8"/>
  <c r="T154" i="8" s="1"/>
  <c r="S178" i="8"/>
  <c r="T178" i="8" s="1"/>
  <c r="S202" i="8"/>
  <c r="T202" i="8" s="1"/>
  <c r="S226" i="8"/>
  <c r="T226" i="8" s="1"/>
  <c r="S250" i="8"/>
  <c r="T250" i="8" s="1"/>
  <c r="S274" i="8"/>
  <c r="T274" i="8" s="1"/>
  <c r="S298" i="8"/>
  <c r="T298" i="8" s="1"/>
  <c r="S322" i="8"/>
  <c r="T322" i="8" s="1"/>
  <c r="S43" i="8"/>
  <c r="T43" i="8" s="1"/>
  <c r="S46" i="8"/>
  <c r="T46" i="8" s="1"/>
  <c r="S71" i="8"/>
  <c r="T71" i="8" s="1"/>
  <c r="S91" i="8"/>
  <c r="T91" i="8" s="1"/>
  <c r="S94" i="8"/>
  <c r="T94" i="8" s="1"/>
  <c r="S107" i="8"/>
  <c r="T107" i="8" s="1"/>
  <c r="S123" i="8"/>
  <c r="T123" i="8" s="1"/>
  <c r="S127" i="8"/>
  <c r="T127" i="8" s="1"/>
  <c r="S133" i="8"/>
  <c r="T133" i="8" s="1"/>
  <c r="S137" i="8"/>
  <c r="T137" i="8" s="1"/>
  <c r="S140" i="8"/>
  <c r="T140" i="8" s="1"/>
  <c r="S144" i="8"/>
  <c r="T144" i="8" s="1"/>
  <c r="S151" i="8"/>
  <c r="T151" i="8" s="1"/>
  <c r="S157" i="8"/>
  <c r="T157" i="8" s="1"/>
  <c r="S161" i="8"/>
  <c r="T161" i="8" s="1"/>
  <c r="S164" i="8"/>
  <c r="T164" i="8" s="1"/>
  <c r="S168" i="8"/>
  <c r="T168" i="8" s="1"/>
  <c r="S175" i="8"/>
  <c r="T175" i="8" s="1"/>
  <c r="S181" i="8"/>
  <c r="T181" i="8" s="1"/>
  <c r="S185" i="8"/>
  <c r="T185" i="8" s="1"/>
  <c r="S188" i="8"/>
  <c r="T188" i="8" s="1"/>
  <c r="S192" i="8"/>
  <c r="T192" i="8" s="1"/>
  <c r="S199" i="8"/>
  <c r="T199" i="8" s="1"/>
  <c r="S205" i="8"/>
  <c r="T205" i="8" s="1"/>
  <c r="S209" i="8"/>
  <c r="T209" i="8" s="1"/>
  <c r="S212" i="8"/>
  <c r="T212" i="8" s="1"/>
  <c r="S216" i="8"/>
  <c r="T216" i="8" s="1"/>
  <c r="S223" i="8"/>
  <c r="T223" i="8" s="1"/>
  <c r="S229" i="8"/>
  <c r="T229" i="8" s="1"/>
  <c r="S233" i="8"/>
  <c r="T233" i="8" s="1"/>
  <c r="S236" i="8"/>
  <c r="T236" i="8" s="1"/>
  <c r="S240" i="8"/>
  <c r="T240" i="8" s="1"/>
  <c r="S247" i="8"/>
  <c r="T247" i="8" s="1"/>
  <c r="S253" i="8"/>
  <c r="T253" i="8" s="1"/>
  <c r="S257" i="8"/>
  <c r="T257" i="8" s="1"/>
  <c r="S260" i="8"/>
  <c r="T260" i="8" s="1"/>
  <c r="S264" i="8"/>
  <c r="T264" i="8" s="1"/>
  <c r="S271" i="8"/>
  <c r="T271" i="8" s="1"/>
  <c r="S277" i="8"/>
  <c r="T277" i="8" s="1"/>
  <c r="S281" i="8"/>
  <c r="T281" i="8" s="1"/>
  <c r="S284" i="8"/>
  <c r="T284" i="8" s="1"/>
  <c r="S288" i="8"/>
  <c r="T288" i="8" s="1"/>
  <c r="S295" i="8"/>
  <c r="T295" i="8" s="1"/>
  <c r="S301" i="8"/>
  <c r="T301" i="8" s="1"/>
  <c r="S305" i="8"/>
  <c r="T305" i="8" s="1"/>
  <c r="S312" i="8"/>
  <c r="T312" i="8" s="1"/>
  <c r="S319" i="8"/>
  <c r="T319" i="8" s="1"/>
  <c r="S329" i="8"/>
  <c r="T329" i="8" s="1"/>
  <c r="S67" i="8"/>
  <c r="T67" i="8" s="1"/>
  <c r="S83" i="8"/>
  <c r="T83" i="8" s="1"/>
  <c r="S106" i="8"/>
  <c r="T106" i="8" s="1"/>
  <c r="F39" i="4"/>
  <c r="F49" i="4"/>
  <c r="G13" i="6"/>
  <c r="G28" i="6"/>
  <c r="S12" i="8"/>
  <c r="S40" i="8"/>
  <c r="T40" i="8" s="1"/>
  <c r="S62" i="8"/>
  <c r="T62" i="8" s="1"/>
  <c r="S65" i="8"/>
  <c r="T65" i="8" s="1"/>
  <c r="S78" i="8"/>
  <c r="T78" i="8" s="1"/>
  <c r="S114" i="8"/>
  <c r="T114" i="8" s="1"/>
  <c r="S134" i="8"/>
  <c r="T134" i="8" s="1"/>
  <c r="S147" i="8"/>
  <c r="T147" i="8" s="1"/>
  <c r="S158" i="8"/>
  <c r="T158" i="8" s="1"/>
  <c r="S171" i="8"/>
  <c r="T171" i="8" s="1"/>
  <c r="S182" i="8"/>
  <c r="T182" i="8" s="1"/>
  <c r="S195" i="8"/>
  <c r="T195" i="8" s="1"/>
  <c r="S206" i="8"/>
  <c r="T206" i="8" s="1"/>
  <c r="S219" i="8"/>
  <c r="T219" i="8" s="1"/>
  <c r="S230" i="8"/>
  <c r="T230" i="8" s="1"/>
  <c r="S243" i="8"/>
  <c r="T243" i="8" s="1"/>
  <c r="S254" i="8"/>
  <c r="T254" i="8" s="1"/>
  <c r="S267" i="8"/>
  <c r="T267" i="8" s="1"/>
  <c r="S278" i="8"/>
  <c r="T278" i="8" s="1"/>
  <c r="S302" i="8"/>
  <c r="T302" i="8" s="1"/>
  <c r="S326" i="8"/>
  <c r="T326" i="8" s="1"/>
  <c r="S333" i="8"/>
  <c r="T333" i="8" s="1"/>
  <c r="S341" i="8"/>
  <c r="T341" i="8" s="1"/>
  <c r="S345" i="8"/>
  <c r="T345" i="8" s="1"/>
  <c r="S353" i="8"/>
  <c r="T353" i="8" s="1"/>
  <c r="S357" i="8"/>
  <c r="T357" i="8" s="1"/>
  <c r="S365" i="8"/>
  <c r="T365" i="8" s="1"/>
  <c r="S369" i="8"/>
  <c r="T369" i="8" s="1"/>
  <c r="S377" i="8"/>
  <c r="T377" i="8" s="1"/>
  <c r="S381" i="8"/>
  <c r="T381" i="8" s="1"/>
  <c r="S389" i="8"/>
  <c r="T389" i="8" s="1"/>
  <c r="S393" i="8"/>
  <c r="T393" i="8" s="1"/>
  <c r="S401" i="8"/>
  <c r="T401" i="8" s="1"/>
  <c r="E6" i="4"/>
  <c r="G33" i="4"/>
  <c r="S31" i="8"/>
  <c r="T31" i="8" s="1"/>
  <c r="S34" i="8"/>
  <c r="T34" i="8" s="1"/>
  <c r="S59" i="8"/>
  <c r="T59" i="8" s="1"/>
  <c r="S88" i="8"/>
  <c r="T88" i="8" s="1"/>
  <c r="S98" i="8"/>
  <c r="T98" i="8" s="1"/>
  <c r="S101" i="8"/>
  <c r="T101" i="8" s="1"/>
  <c r="S104" i="8"/>
  <c r="T104" i="8" s="1"/>
  <c r="S124" i="8"/>
  <c r="T124" i="8" s="1"/>
  <c r="S141" i="8"/>
  <c r="T141" i="8" s="1"/>
  <c r="S165" i="8"/>
  <c r="T165" i="8" s="1"/>
  <c r="S189" i="8"/>
  <c r="T189" i="8" s="1"/>
  <c r="S213" i="8"/>
  <c r="T213" i="8" s="1"/>
  <c r="S237" i="8"/>
  <c r="T237" i="8" s="1"/>
  <c r="S261" i="8"/>
  <c r="T261" i="8" s="1"/>
  <c r="S285" i="8"/>
  <c r="T285" i="8" s="1"/>
  <c r="S309" i="8"/>
  <c r="T309" i="8" s="1"/>
  <c r="G11" i="6"/>
  <c r="G26" i="6"/>
  <c r="S28" i="8"/>
  <c r="T28" i="8" s="1"/>
  <c r="S50" i="8"/>
  <c r="T50" i="8" s="1"/>
  <c r="S53" i="8"/>
  <c r="T53" i="8" s="1"/>
  <c r="S72" i="8"/>
  <c r="T72" i="8" s="1"/>
  <c r="S108" i="8"/>
  <c r="T108" i="8" s="1"/>
  <c r="S117" i="8"/>
  <c r="T117" i="8" s="1"/>
  <c r="S131" i="8"/>
  <c r="T131" i="8" s="1"/>
  <c r="S138" i="8"/>
  <c r="T138" i="8" s="1"/>
  <c r="S148" i="8"/>
  <c r="T148" i="8" s="1"/>
  <c r="S155" i="8"/>
  <c r="T155" i="8" s="1"/>
  <c r="S162" i="8"/>
  <c r="T162" i="8" s="1"/>
  <c r="S172" i="8"/>
  <c r="T172" i="8" s="1"/>
  <c r="S179" i="8"/>
  <c r="T179" i="8" s="1"/>
  <c r="S186" i="8"/>
  <c r="T186" i="8" s="1"/>
  <c r="S196" i="8"/>
  <c r="T196" i="8" s="1"/>
  <c r="S203" i="8"/>
  <c r="T203" i="8" s="1"/>
  <c r="S210" i="8"/>
  <c r="T210" i="8" s="1"/>
  <c r="S220" i="8"/>
  <c r="T220" i="8" s="1"/>
  <c r="S227" i="8"/>
  <c r="T227" i="8" s="1"/>
  <c r="S234" i="8"/>
  <c r="T234" i="8" s="1"/>
  <c r="S244" i="8"/>
  <c r="T244" i="8" s="1"/>
  <c r="S251" i="8"/>
  <c r="T251" i="8" s="1"/>
  <c r="S258" i="8"/>
  <c r="T258" i="8" s="1"/>
  <c r="S268" i="8"/>
  <c r="T268" i="8" s="1"/>
  <c r="S275" i="8"/>
  <c r="T275" i="8" s="1"/>
  <c r="S282" i="8"/>
  <c r="T282" i="8" s="1"/>
  <c r="S292" i="8"/>
  <c r="T292" i="8" s="1"/>
  <c r="S299" i="8"/>
  <c r="T299" i="8" s="1"/>
  <c r="S306" i="8"/>
  <c r="T306" i="8" s="1"/>
  <c r="S316" i="8"/>
  <c r="T316" i="8" s="1"/>
  <c r="S323" i="8"/>
  <c r="T323" i="8" s="1"/>
  <c r="S330" i="8"/>
  <c r="T330" i="8" s="1"/>
  <c r="G7" i="4" l="1"/>
  <c r="F37" i="4"/>
  <c r="G50" i="4"/>
  <c r="F50" i="4"/>
  <c r="G8" i="4"/>
  <c r="S121" i="8"/>
  <c r="T121" i="8" s="1"/>
  <c r="S200" i="8"/>
  <c r="T200" i="8" s="1"/>
  <c r="S128" i="8"/>
  <c r="T128" i="8" s="1"/>
  <c r="S135" i="8"/>
  <c r="T135" i="8" s="1"/>
  <c r="S169" i="8"/>
  <c r="T169" i="8" s="1"/>
  <c r="S105" i="8"/>
  <c r="T105" i="8" s="1"/>
  <c r="E26" i="3" s="1" a="1"/>
  <c r="E26" i="3" s="1"/>
  <c r="S176" i="8"/>
  <c r="T176" i="8" s="1"/>
  <c r="S183" i="8"/>
  <c r="T183" i="8" s="1"/>
  <c r="S145" i="8"/>
  <c r="T145" i="8" s="1"/>
  <c r="S152" i="8"/>
  <c r="T152" i="8" s="1"/>
  <c r="S111" i="8"/>
  <c r="T111" i="8" s="1"/>
  <c r="S159" i="8"/>
  <c r="T159" i="8" s="1"/>
  <c r="S193" i="8"/>
  <c r="T193" i="8" s="1"/>
  <c r="S146" i="8"/>
  <c r="T146" i="8" s="1"/>
  <c r="S142" i="8"/>
  <c r="T142" i="8" s="1"/>
  <c r="S194" i="8"/>
  <c r="T194" i="8" s="1"/>
  <c r="D63" i="4"/>
  <c r="S156" i="8"/>
  <c r="T156" i="8" s="1"/>
  <c r="S122" i="8"/>
  <c r="T122" i="8" s="1"/>
  <c r="F26" i="3" s="1" a="1"/>
  <c r="F26" i="3" s="1"/>
  <c r="G12" i="4"/>
  <c r="C27" i="3" a="1"/>
  <c r="C27" i="3" s="1"/>
  <c r="B27" i="3" a="1"/>
  <c r="B27" i="3" s="1"/>
  <c r="G27" i="3" a="1"/>
  <c r="G27" i="3" s="1"/>
  <c r="E27" i="3" a="1"/>
  <c r="E27" i="3" s="1"/>
  <c r="D27" i="3" a="1"/>
  <c r="D27" i="3" s="1"/>
  <c r="F27" i="3" a="1"/>
  <c r="F27" i="3" s="1"/>
  <c r="S115" i="8"/>
  <c r="T115" i="8" s="1"/>
  <c r="E63" i="4"/>
  <c r="G26" i="3" a="1"/>
  <c r="G26" i="3" s="1"/>
  <c r="G63" i="4"/>
  <c r="S170" i="8"/>
  <c r="T170" i="8" s="1"/>
  <c r="S149" i="8"/>
  <c r="T149" i="8" s="1"/>
  <c r="T3" i="8"/>
  <c r="G6" i="4"/>
  <c r="C28" i="3" a="1"/>
  <c r="C28" i="3" s="1"/>
  <c r="B28" i="3" a="1"/>
  <c r="B28" i="3" s="1"/>
  <c r="G28" i="3" a="1"/>
  <c r="G28" i="3" s="1"/>
  <c r="F28" i="3" a="1"/>
  <c r="F28" i="3" s="1"/>
  <c r="E28" i="3" a="1"/>
  <c r="E28" i="3" s="1"/>
  <c r="D28" i="3" a="1"/>
  <c r="D28" i="3" s="1"/>
  <c r="G24" i="6"/>
  <c r="C30" i="1"/>
  <c r="T2" i="8"/>
  <c r="G17" i="2"/>
  <c r="E19" i="2" a="1"/>
  <c r="E19" i="2" s="1"/>
  <c r="F17" i="2" a="1"/>
  <c r="F17" i="2" s="1"/>
  <c r="G20" i="2"/>
  <c r="E17" i="2" a="1"/>
  <c r="E17" i="2" s="1"/>
  <c r="G18" i="2"/>
  <c r="F20" i="2" a="1"/>
  <c r="F20" i="2" s="1"/>
  <c r="C19" i="2"/>
  <c r="E18" i="2" a="1"/>
  <c r="E18" i="2" s="1"/>
  <c r="F18" i="2" a="1"/>
  <c r="F18" i="2" s="1"/>
  <c r="C18" i="2"/>
  <c r="E20" i="2" a="1"/>
  <c r="E20" i="2" s="1"/>
  <c r="C17" i="2"/>
  <c r="G10" i="4"/>
  <c r="G19" i="2"/>
  <c r="F19" i="2" a="1"/>
  <c r="F19" i="2" s="1"/>
  <c r="C20" i="2"/>
  <c r="T12" i="8"/>
  <c r="G9" i="4"/>
  <c r="A22" i="1" s="1"/>
  <c r="E12" i="4"/>
  <c r="G11" i="4"/>
  <c r="S187" i="8"/>
  <c r="T187" i="8" s="1"/>
  <c r="S190" i="8"/>
  <c r="T190" i="8" s="1"/>
  <c r="B26" i="3" l="1" a="1"/>
  <c r="B26" i="3" s="1"/>
  <c r="D20" i="2"/>
  <c r="C26" i="3" a="1"/>
  <c r="C26" i="3" s="1"/>
  <c r="F63" i="4"/>
  <c r="D17" i="2"/>
  <c r="B8" i="1" s="1"/>
  <c r="A6" i="1"/>
  <c r="C8" i="3" a="1"/>
  <c r="C8" i="3" s="1"/>
  <c r="B6" i="3" a="1"/>
  <c r="B6" i="3" s="1"/>
  <c r="C10" i="3" a="1"/>
  <c r="C10" i="3" s="1"/>
  <c r="B8" i="3" a="1"/>
  <c r="B8" i="3" s="1"/>
  <c r="D8" i="3" s="1"/>
  <c r="A13" i="3" a="1"/>
  <c r="A13" i="3" s="1"/>
  <c r="C7" i="3" a="1"/>
  <c r="C7" i="3" s="1"/>
  <c r="B10" i="3" a="1"/>
  <c r="B10" i="3" s="1"/>
  <c r="C11" i="3" a="1"/>
  <c r="C11" i="3" s="1"/>
  <c r="C6" i="3" a="1"/>
  <c r="C6" i="3" s="1"/>
  <c r="B11" i="3" a="1"/>
  <c r="B11" i="3" s="1"/>
  <c r="B7" i="3" a="1"/>
  <c r="B7" i="3" s="1"/>
  <c r="C12" i="3"/>
  <c r="B12" i="3"/>
  <c r="C9" i="3" a="1"/>
  <c r="C9" i="3" s="1"/>
  <c r="B9" i="3" a="1"/>
  <c r="B9" i="3" s="1"/>
  <c r="D18" i="2"/>
  <c r="D26" i="3" a="1"/>
  <c r="D26" i="3" s="1"/>
  <c r="A22" i="2"/>
  <c r="D19" i="2"/>
  <c r="B13" i="1" l="1"/>
  <c r="D6" i="3"/>
  <c r="C8" i="1" s="1"/>
  <c r="B14" i="1"/>
  <c r="D9" i="3"/>
  <c r="D7" i="3"/>
  <c r="B15" i="1"/>
  <c r="D12" i="3"/>
  <c r="D11" i="3"/>
  <c r="D10" i="3"/>
</calcChain>
</file>

<file path=xl/sharedStrings.xml><?xml version="1.0" encoding="utf-8"?>
<sst xmlns="http://schemas.openxmlformats.org/spreadsheetml/2006/main" count="2606" uniqueCount="982">
  <si>
    <t>TikTok : ce qui distingue les contenus et créateurs performants</t>
  </si>
  <si>
    <t>1 · LE SUCCÈS, DÉFINI</t>
  </si>
  <si>
    <t>Succès = portée ET engagement. Portée : vues ≥ médiane du fichier. Engagement : (J’aime + commentaires + partages) ÷ vues ≥ médiane. Les vues seules favorisent les gros comptes ; le taux d’engagement dit si le public réagit.</t>
  </si>
  <si>
    <t>2 · CE QUI DISTINGUE LES MEILLEURS (chiffre clé et lecture)</t>
  </si>
  <si>
    <t>Facteur</t>
  </si>
  <si>
    <t>Chiffre clé</t>
  </si>
  <si>
    <t>Ce que cela signifie</t>
  </si>
  <si>
    <t>Réaction du public</t>
  </si>
  <si>
    <t>Ce qui sépare les meilleurs : une vidéo que le public aime et commente davantage ; les partages ne font pas la différence.</t>
  </si>
  <si>
    <t>Réglages techniques</t>
  </si>
  <si>
    <t>Aucun effet visible : ce n’est pas la mécanique de la vidéo qui fait la performance.</t>
  </si>
  <si>
    <t>Hashtags génériques (#fyp, #viral…)</t>
  </si>
  <si>
    <t>Pas un levier : les vidéos à succès en utilisent moins.</t>
  </si>
  <si>
    <t>Thème du contenu</t>
  </si>
  <si>
    <t>L’humour porte la plus grosse portée mais engage le moins ; famille et food engagent davantage (food : 7 vidéos, dominées par un créateur).</t>
  </si>
  <si>
    <t>Taille de l’audience</t>
  </si>
  <si>
    <t>Contenu de créateurs vs de marque</t>
  </si>
  <si>
    <t>Le contenu de créateurs engage environ 1,6 fois plus que le contenu institutionnel (réserve : un seul compte officiel).</t>
  </si>
  <si>
    <t>3 · QUI DOMINE CHAQUE CATÉGORIE</t>
  </si>
  <si>
    <t>4 · QUI CONTACTER EN PRIORITÉ (liste complète : onglet Contacts)</t>
  </si>
  <si>
    <t>Compte</t>
  </si>
  <si>
    <t>Source</t>
  </si>
  <si>
    <t>Taux d’engagement</t>
  </si>
  <si>
    <t>Vues cumulées</t>
  </si>
  <si>
    <t>Thème (tendance) / abonnés (hashtag)</t>
  </si>
  <si>
    <t>Tendance</t>
  </si>
  <si>
    <t>Hashtag humour</t>
  </si>
  <si>
    <t>5 · À RETENIR AVANT DE DÉCIDER</t>
  </si>
  <si>
    <t>•  Aucune vidéo peu performante dans les extraits : on compare des succès entre eux, on ne sait pas ce qui sépare un succès d’un échec.</t>
  </si>
  <si>
    <t>•  Corrélations, pas causalité ; aucun résultat business (ventes, notoriété). Données de 2021 : à actualiser avant d’investir.</t>
  </si>
  <si>
    <t>•  Catégories déduites des légendes (indicatif) ; 100 vidéos par fichier : les petits effectifs sont à confirmer.</t>
  </si>
  <si>
    <t>Définir le succès : ce que mesurent les chiffres</t>
  </si>
  <si>
    <t>DÉFINITION RETENUE</t>
  </si>
  <si>
    <t>Taux d’engagement = (J’aime + commentaires + partages) ÷ vues. Il mesure la réaction du public, indépendamment de la taille du compte ; les vues seules et les J’aime bruts favorisent mécaniquement les gros comptes. Médiane plutôt que moyenne : quelques vidéos virales faussent les moyennes.</t>
  </si>
  <si>
    <t>A. LES 4 FICHIERS EN UN COUP D’ŒIL (repères de réussite par fichier)</t>
  </si>
  <si>
    <t>Contenu du fichier</t>
  </si>
  <si>
    <t>Nb vidéos</t>
  </si>
  <si>
    <t>Vues médianes</t>
  </si>
  <si>
    <t>Taux d’engagement médian</t>
  </si>
  <si>
    <t>Part des J’aime dans les interactions</t>
  </si>
  <si>
    <t>Rôle dans l’analyse</t>
  </si>
  <si>
    <t>Vidéos en tendance (84 créateurs)</t>
  </si>
  <si>
    <t>Fichier principal : seul à mélanger de nombreux créateurs</t>
  </si>
  <si>
    <t>Aimées</t>
  </si>
  <si>
    <t>Vidéos aimées par le compte @tiktok</t>
  </si>
  <si>
    <t>Contrôle de robustesse (sélection éditoriale)</t>
  </si>
  <si>
    <t>Officiel</t>
  </si>
  <si>
    <t>Vidéos du compte officiel @tiktok</t>
  </si>
  <si>
    <t>Repère « contenu de marque »</t>
  </si>
  <si>
    <t>Hashtag</t>
  </si>
  <si>
    <t>Vidéos du hashtag humour (79 créateurs)</t>
  </si>
  <si>
    <t>Seul fichier avec le nombre d’abonnés</t>
  </si>
  <si>
    <t>B. POURQUOI DEUX MESURES ET PAS UNE (vidéos en tendance)</t>
  </si>
  <si>
    <t>Profil de la vidéo</t>
  </si>
  <si>
    <t>Règle</t>
  </si>
  <si>
    <t>Part des vidéos</t>
  </si>
  <si>
    <t>Part des vues cumulées</t>
  </si>
  <si>
    <t>Succès complet</t>
  </si>
  <si>
    <t>Vues ≥ médiane ET engagement ≥ médiane</t>
  </si>
  <si>
    <t>Engagé, portée modeste</t>
  </si>
  <si>
    <t>Engagement ≥ médiane, vues &lt; médiane</t>
  </si>
  <si>
    <t>Portée sans engagement</t>
  </si>
  <si>
    <t>Vues ≥ médiane, engagement &lt; médiane</t>
  </si>
  <si>
    <t>Standard</t>
  </si>
  <si>
    <t>Les deux sous la médiane</t>
  </si>
  <si>
    <t>Facteurs : ce qui distingue les vidéos à succès des autres</t>
  </si>
  <si>
    <t>Comparaison des médianes : vidéos « succès complet » vs les autres (100 vidéos en tendance). Corrélation ≠ causalité : on compare des contenus déjà populaires entre eux.</t>
  </si>
  <si>
    <t>Succès complet (médiane)</t>
  </si>
  <si>
    <t>Autres vidéos (médiane)</t>
  </si>
  <si>
    <t>Rapport succès / autres</t>
  </si>
  <si>
    <t>Lecture</t>
  </si>
  <si>
    <t>Taux de J’aime (J’aime ÷ vues)</t>
  </si>
  <si>
    <t>Distingue nettement : le haut du panier est surtout une vidéo que le public aime.</t>
  </si>
  <si>
    <t>Taux de commentaires</t>
  </si>
  <si>
    <t>Distingue : ça discute plus.</t>
  </si>
  <si>
    <t>Taux de partages</t>
  </si>
  <si>
    <t>Ne distingue pas : les partages sont même plus rares chez les vidéos à succès.</t>
  </si>
  <si>
    <t>Durée de la vidéo (s)</t>
  </si>
  <si>
    <t>Aucune différence : la durée n’explique pas le succès.</t>
  </si>
  <si>
    <t>Nombre de hashtags</t>
  </si>
  <si>
    <t>Aucune différence.</t>
  </si>
  <si>
    <t>Longueur de la légende (car.)</t>
  </si>
  <si>
    <t>Part des vidéos avec un hashtag générique (#fyp, #foryou, #viral…)</t>
  </si>
  <si>
    <t>Les vidéos à succès en utilisent moins : ces hashtags ne sont pas un levier.</t>
  </si>
  <si>
    <t>B. TAILLE D’AUDIENCE (fichier hashtag humour : seul fichier avec les abonnés)</t>
  </si>
  <si>
    <t>Palier d’audience</t>
  </si>
  <si>
    <t>Abonnés de</t>
  </si>
  <si>
    <t>Abonnés jusqu’à (exclu)</t>
  </si>
  <si>
    <t>Vues par abonné (médiane)</t>
  </si>
  <si>
    <t>Moins de 1 M d’abonnés</t>
  </si>
  <si>
    <t>1 à 5 M d’abonnés</t>
  </si>
  <si>
    <t>Plus de 5 M d’abonnés</t>
  </si>
  <si>
    <t>Compte vérifié</t>
  </si>
  <si>
    <t>—</t>
  </si>
  <si>
    <t>Compte non vérifié</t>
  </si>
  <si>
    <t>Lecture : les plus petits comptes engagent le plus et obtiennent des vues par abonné sans commune mesure ; le badge « vérifié » n’apporte pas d’engagement supplémentaire. L’audience n’est donc ni nécessaire ni suffisante.</t>
  </si>
  <si>
    <t>C. LE CONSTAT TIENT-IL DANS LES AUTRES FICHIERS ? (médianes, succès complet vs autres)</t>
  </si>
  <si>
    <t>Fichier</t>
  </si>
  <si>
    <t>Taux de J’aime : succès</t>
  </si>
  <si>
    <t>Taux de J’aime : autres</t>
  </si>
  <si>
    <t>Durée (s) : succès</t>
  </si>
  <si>
    <t>Durée (s) : autres</t>
  </si>
  <si>
    <t>Nb hashtags : succès</t>
  </si>
  <si>
    <t>Nb hashtags : autres</t>
  </si>
  <si>
    <t>Lecture : dans les trois autres fichiers, le taux de J’aime reste le seul facteur qui sépare nettement les succès du reste ; durée et hashtags ne montrent pas d’écart constant d’un fichier à l’autre. Seuls des tests contrôlés permettraient de parler de levier.</t>
  </si>
  <si>
    <t>Catégories : qui domine, et pourquoi</t>
  </si>
  <si>
    <t>Catégories = thème de CHAQUE créateur, déduit par mots-clés des légendes et hashtags du fichier (aucune donnée externe). Un créateur sans mot-clé exploitable est « Non classé ». Source : 100 vidéos en tendance.</t>
  </si>
  <si>
    <t>A. PERFORMANCE PAR CATÉGORIE</t>
  </si>
  <si>
    <t>Catégorie</t>
  </si>
  <si>
    <t>Nb créateurs</t>
  </si>
  <si>
    <t>Part des vues</t>
  </si>
  <si>
    <t>% de vidéos « succès complet »</t>
  </si>
  <si>
    <t>Créateur dominant (portée)</t>
  </si>
  <si>
    <t>Sa part des vues de la catégorie</t>
  </si>
  <si>
    <t>Créateur le plus engageant*</t>
  </si>
  <si>
    <t>Son taux d’engagement</t>
  </si>
  <si>
    <t>Humour &amp; sketchs</t>
  </si>
  <si>
    <t>Compte TND-049</t>
  </si>
  <si>
    <t>Compte TND-060</t>
  </si>
  <si>
    <t>Domine par la portée (plus grosse part des vues identifiées) mais engagement le plus faible : on regarde beaucoup, on réagit peu.</t>
  </si>
  <si>
    <t>Animaux</t>
  </si>
  <si>
    <t>Compte TND-003</t>
  </si>
  <si>
    <t>TND-014</t>
  </si>
  <si>
    <t>Portée médiane modeste et engagement moyen : terrain accessible mais rarement un succès complet.</t>
  </si>
  <si>
    <t>Famille &amp; enfants</t>
  </si>
  <si>
    <t>Compte TND-008</t>
  </si>
  <si>
    <t>TND-052</t>
  </si>
  <si>
    <t>Engagement au-dessus de la médiane avec une bonne portée : bon équilibre entre vues et réaction.</t>
  </si>
  <si>
    <t>Food &amp; lifestyle</t>
  </si>
  <si>
    <t>TND-010</t>
  </si>
  <si>
    <t>Meilleur engagement médian, 5 vidéos sur 7 en succès complet ; mais 7 vidéos seulement et un seul créateur pèse plus de la moitié des vues : signal à confirmer.</t>
  </si>
  <si>
    <t>Musique &amp; danse</t>
  </si>
  <si>
    <t>Compte TND-042</t>
  </si>
  <si>
    <t>@bts_official_bighit</t>
  </si>
  <si>
    <t>Seulement 5 vidéos : non concluant.</t>
  </si>
  <si>
    <t>Non classé</t>
  </si>
  <si>
    <t>Compte TND-051</t>
  </si>
  <si>
    <t>TND-039</t>
  </si>
  <si>
    <t>Légende vide ou sans mot-clé : 39 % des vidéos et la plus grosse portée (comptes très suivis), mais thème inconnu.</t>
  </si>
  <si>
    <t>Total / médiane</t>
  </si>
  <si>
    <t>* Parmi les créateurs de la catégorie dont les vues cumulées dépassent la médiane d’une vidéo (évite de distinguer un créateur sur une seule petite vidéo). Les créateurs non retenus pour le contact sont désignés par une référence anonyme (TND-xxx).</t>
  </si>
  <si>
    <t>B. DÉTAIL DU TREEMAP : créateurs (taille = vues cumulées, couleur = catégorie)</t>
  </si>
  <si>
    <t>Catégorie (couleur)</t>
  </si>
  <si>
    <t>N°</t>
  </si>
  <si>
    <t>Réf. interne</t>
  </si>
  <si>
    <t>Vues cumulées (taille)</t>
  </si>
  <si>
    <t>Interactions</t>
  </si>
  <si>
    <t>Part des vues totales</t>
  </si>
  <si>
    <t>Créateur</t>
  </si>
  <si>
    <t>TND-049</t>
  </si>
  <si>
    <t>TND-060</t>
  </si>
  <si>
    <t>TND-004</t>
  </si>
  <si>
    <t>Compte TND-004</t>
  </si>
  <si>
    <t>TND-057</t>
  </si>
  <si>
    <t>Compte TND-057</t>
  </si>
  <si>
    <t>Autres (13 créateurs)</t>
  </si>
  <si>
    <t>TND-003</t>
  </si>
  <si>
    <t>TND-037</t>
  </si>
  <si>
    <t>TND-037</t>
  </si>
  <si>
    <t>TND-014</t>
  </si>
  <si>
    <t>Autres (14 créateurs)</t>
  </si>
  <si>
    <t>TND-008</t>
  </si>
  <si>
    <t>TND-033</t>
  </si>
  <si>
    <t>Compte TND-033</t>
  </si>
  <si>
    <t>TND-052</t>
  </si>
  <si>
    <t>TND-023</t>
  </si>
  <si>
    <t>TND-023</t>
  </si>
  <si>
    <t>TND-030</t>
  </si>
  <si>
    <t>TND-030</t>
  </si>
  <si>
    <t>Autres (9 créateurs)</t>
  </si>
  <si>
    <t>TND-010</t>
  </si>
  <si>
    <t>TND-067</t>
  </si>
  <si>
    <t>TND-067</t>
  </si>
  <si>
    <t>Autres (3 créateurs)</t>
  </si>
  <si>
    <t>TND-042</t>
  </si>
  <si>
    <t>TND-001</t>
  </si>
  <si>
    <t>Autres (2 créateurs)</t>
  </si>
  <si>
    <t>TND-051</t>
  </si>
  <si>
    <t>TND-073</t>
  </si>
  <si>
    <t>Compte TND-073</t>
  </si>
  <si>
    <t>TND-028</t>
  </si>
  <si>
    <t>Compte TND-028</t>
  </si>
  <si>
    <t>TND-013</t>
  </si>
  <si>
    <t>Compte TND-013</t>
  </si>
  <si>
    <t>TND-053</t>
  </si>
  <si>
    <t>Compte TND-053</t>
  </si>
  <si>
    <t>TND-071</t>
  </si>
  <si>
    <t>TND-071</t>
  </si>
  <si>
    <t>TND-039</t>
  </si>
  <si>
    <t>TND-044</t>
  </si>
  <si>
    <t>TND-044</t>
  </si>
  <si>
    <t>Autres (19 créateurs)</t>
  </si>
  <si>
    <t>Total</t>
  </si>
  <si>
    <t>TreeMap : qui pèse le plus, et dans quelle catégorie</t>
  </si>
  <si>
    <t>Lecture : la TAILLE d’un carré = vues cumulées du créateur (portée) ; la COULEUR = catégorie de contenu ; le texte indique le taux d’engagement. Un grand carré n’est pas forcément un bon engagement : comparer les deux. Détail chiffré : onglet Catégories, section B.</t>
  </si>
  <si>
    <t>Autres (19 cr.)
272 M · 9,7 %</t>
  </si>
  <si>
    <t>Compte TND-051
222 M · 14,2 %</t>
  </si>
  <si>
    <t>Compte TND-049
165 M · 10,8 %</t>
  </si>
  <si>
    <t>Compte TND-008
80 M · 7,7 %</t>
  </si>
  <si>
    <t>Compte TND-033
56 M · 16 %</t>
  </si>
  <si>
    <t>TND-052
34 M · 17 %</t>
  </si>
  <si>
    <t>TND-030
17 %</t>
  </si>
  <si>
    <t>Autres (9 cr.)
58 M · 11 %</t>
  </si>
  <si>
    <t>Autres (13 cr.)
147 M · 8,1 %</t>
  </si>
  <si>
    <t>Compte TND-060
106 M · 14,8 %</t>
  </si>
  <si>
    <t>TND-023
16 %</t>
  </si>
  <si>
    <t>Autres (14 cr.)
81 M · 10,7 %</t>
  </si>
  <si>
    <t>TND-010
74 M · 25 %</t>
  </si>
  <si>
    <t>Compte TND-073
200 M · 3,1 %</t>
  </si>
  <si>
    <t>Compte TND-028
141 M · 10,2 %</t>
  </si>
  <si>
    <t>Compte TND-053
54 M · 8 %</t>
  </si>
  <si>
    <t>Compte TND-003
45 M · 10 %</t>
  </si>
  <si>
    <t>TND-037
18 %</t>
  </si>
  <si>
    <t>TND-071
50 M · 20 %</t>
  </si>
  <si>
    <t>Compte TND-004
101 M · 12,2 %</t>
  </si>
  <si>
    <t>Compte TND-057
84 M · 14,4 %</t>
  </si>
  <si>
    <t>TND-067
16 %</t>
  </si>
  <si>
    <t>Autres (3 cr.)
12 %</t>
  </si>
  <si>
    <t>Compte TND-013
109 M · 12,0 %</t>
  </si>
  <si>
    <t>TND-014
20 %</t>
  </si>
  <si>
    <t>Compte TND-042
43 M · 11 %</t>
  </si>
  <si>
    <t>Autres (2 cr.)
10 %</t>
  </si>
  <si>
    <t>@bts_official_bighit
36 %</t>
  </si>
  <si>
    <t>TND-039
24 %</t>
  </si>
  <si>
    <t>n°29</t>
  </si>
  <si>
    <t>Légende (couleur = catégorie ; entre parenthèses : part des vues du TreeMap)</t>
  </si>
  <si>
    <t>Humour &amp; sketchs (26 %)</t>
  </si>
  <si>
    <t>Animaux (6 %)</t>
  </si>
  <si>
    <t>Famille &amp; enfants (12 %)</t>
  </si>
  <si>
    <t>Food &amp; lifestyle (5 %)</t>
  </si>
  <si>
    <t>Musique &amp; danse (4 %)</t>
  </si>
  <si>
    <t>Non classé (46 %)</t>
  </si>
  <si>
    <t>Note : la disposition des carrés est calculée à partir des vues cumulées au moment de la construction du fichier ; les valeurs exactes se lisent dans l’onglet Catégories (section B). Les carrés trop petits portent un numéro (n°) qui renvoie à cette table.</t>
  </si>
  <si>
    <t>Qui contacter : créateurs prioritaires d’après les analyses</t>
  </si>
  <si>
    <t>RÈGLES DE SÉLECTION</t>
  </si>
  <si>
    <t>A. CRÉATEURS EN TENDANCE À SUCCÈS CONFIRMÉ</t>
  </si>
  <si>
    <t>Thème</t>
  </si>
  <si>
    <t>× médiane du fichier</t>
  </si>
  <si>
    <t>Pourquoi le contacter</t>
  </si>
  <si>
    <t>Point de vigilance</t>
  </si>
  <si>
    <t>36,1 % d’engagement (3,4× la médiane), 27 M de vues sur 2 vidéos en tendance : régulier.</t>
  </si>
  <si>
    <t>Le nom du compte contient « official » : probablement une organisation, pas un créateur indépendant. Compte vérifié : vérifier qui gère les partenariats.</t>
  </si>
  <si>
    <t>25,1 % d’engagement (2,3× la médiane), 74 M de vues sur 3 vidéos en tendance : régulier.</t>
  </si>
  <si>
    <t>Compte vérifié : vérifier qui gère les partenariats.</t>
  </si>
  <si>
    <t>23,8 % d’engagement (2,2× la médiane), 14 M de vues sur 1 vidéo en tendance.</t>
  </si>
  <si>
    <t>Statut vérifié non disponible dans les extraits.</t>
  </si>
  <si>
    <t>19,9 % d’engagement (1,9× la médiane), 50 M de vues sur 1 vidéo en tendance.</t>
  </si>
  <si>
    <t>Vérifier l’âge du créateur avant tout contact.</t>
  </si>
  <si>
    <t>19,6 % d’engagement (1,8× la médiane), 11 M de vues sur 1 vidéo en tendance.</t>
  </si>
  <si>
    <t>18,6 % d’engagement (1,7× la médiane), 10 M de vues sur 1 vidéo en tendance.</t>
  </si>
  <si>
    <t>17,9 % d’engagement (1,7× la médiane), 13 M de vues sur 1 vidéo en tendance.</t>
  </si>
  <si>
    <t>17,0 % d’engagement (1,6× la médiane), 34 M de vues sur 1 vidéo en tendance.</t>
  </si>
  <si>
    <t>Contenu famille : vérifier l’âge des personnes filmées et le consentement.</t>
  </si>
  <si>
    <t>16,6 % d’engagement (1,6× la médiane), 25 M de vues sur 1 vidéo en tendance.</t>
  </si>
  <si>
    <t>Statut vérifié non disponible dans les extraits. Contenu famille : vérifier l’âge des personnes filmées et le consentement.</t>
  </si>
  <si>
    <t>16,5 % d’engagement (1,5× la médiane), 32 M de vues sur 1 vidéo en tendance.</t>
  </si>
  <si>
    <t>16,2 % d’engagement (1,5× la médiane), 25 M de vues sur 1 vidéo en tendance.</t>
  </si>
  <si>
    <t>B. PETITS ET MOYENS COMPTES À FORT ENGAGEMENT (hashtag humour)</t>
  </si>
  <si>
    <t>Abonnés</t>
  </si>
  <si>
    <t>Vues</t>
  </si>
  <si>
    <t>HSH-042</t>
  </si>
  <si>
    <t>29,5 % d’engagement (1,8× la médiane du fichier) pour 500 k abonnés : 58 vues par abonné.</t>
  </si>
  <si>
    <t>HSH-042</t>
  </si>
  <si>
    <t>HSH-077</t>
  </si>
  <si>
    <t>25,8 % d’engagement (1,6× la médiane du fichier) pour 958 k abonnés : 29 vues par abonné.</t>
  </si>
  <si>
    <t>HSH-077</t>
  </si>
  <si>
    <t>HSH-013</t>
  </si>
  <si>
    <t>25,6 % d’engagement (1,6× la médiane du fichier) pour 144 k abonnés : 320 vues par abonné.</t>
  </si>
  <si>
    <t>HSH-013</t>
  </si>
  <si>
    <t>HSH-057</t>
  </si>
  <si>
    <t>23,4 % d’engagement (1,4× la médiane du fichier) pour 1,30 M abonnés : 26 vues par abonné.</t>
  </si>
  <si>
    <t>HSH-057</t>
  </si>
  <si>
    <t>HSH-009</t>
  </si>
  <si>
    <t>23,3 % d’engagement (1,4× la médiane du fichier) pour 168 k abonnés : 353 vues par abonné.</t>
  </si>
  <si>
    <t>HSH-009</t>
  </si>
  <si>
    <t>HSH-018</t>
  </si>
  <si>
    <t>23,2 % d’engagement (1,4× la médiane du fichier) pour 1,00 M abonnés : 44 vues par abonné.</t>
  </si>
  <si>
    <t>HSH-018</t>
  </si>
  <si>
    <t>HSH-025</t>
  </si>
  <si>
    <t>23,0 % d’engagement (1,4× la médiane du fichier) pour 159 k abonnés : 270 vues par abonné.</t>
  </si>
  <si>
    <t>HSH-025</t>
  </si>
  <si>
    <t>HSH-067</t>
  </si>
  <si>
    <t>22,9 % d’engagement (1,4× la médiane du fichier) pour 74 k abonnés : 424 vues par abonné.</t>
  </si>
  <si>
    <t>HSH-067</t>
  </si>
  <si>
    <t>Méthode, données personnelles et limites</t>
  </si>
  <si>
    <t>Ce que le fichier utilise, ce qu’il écarte, et pourquoi.</t>
  </si>
  <si>
    <t>1. SOURCES : LES EXTRAITS UTILISÉS</t>
  </si>
  <si>
    <t>Extrait</t>
  </si>
  <si>
    <t>Usage</t>
  </si>
  <si>
    <t>Remarque</t>
  </si>
  <si>
    <t>trending_videos1</t>
  </si>
  <si>
    <t>Fichier principal</t>
  </si>
  <si>
    <t>100 vidéos, 84 créateurs : vues, J’aime, commentaires, partages, durée, légende.</t>
  </si>
  <si>
    <t>trending_authors1</t>
  </si>
  <si>
    <t>Statut « vérifié » uniquement</t>
  </si>
  <si>
    <t>Aucune mesure de performance ; ne couvre que 44 des 100 vidéos en tendance (les autres : « Inconnu »). Biographies, liens, avatars non repris.</t>
  </si>
  <si>
    <t>Contrôle de robustesse</t>
  </si>
  <si>
    <t>Sélection éditoriale d’un compte : jamais fusionnée avec les autres.</t>
  </si>
  <si>
    <t>tiktok_collected_videos1</t>
  </si>
  <si>
    <t>Repère contenu de marque</t>
  </si>
  <si>
    <t>Un seul compte (le compte officiel de la plateforme).</t>
  </si>
  <si>
    <t>Test de la taille d’audience</t>
  </si>
  <si>
    <t>Seul fichier avec les abonnés. La colonne « video_stats » est lue comme le nombre de J’aime (ordre de grandeur cohérent avec les vues, toujours ≤ vues).</t>
  </si>
  <si>
    <t>2. RÈGLES DE CALCUL</t>
  </si>
  <si>
    <t>(J’aime + commentaires + partages) ÷ vues. Les compteurs ≥ 1 000 sont arrondis par la plateforme : précision de quelques % près.</t>
  </si>
  <si>
    <t>Seuils</t>
  </si>
  <si>
    <t>Médianes de chaque fichier (voir onglet Succès). Aucune comparaison de valeurs absolues entre fichiers.</t>
  </si>
  <si>
    <t>Catégories</t>
  </si>
  <si>
    <t>Mots-clés cherchés dans les légendes et hashtags (animaux, famille, nourriture, musique, humour, dans cet ordre de priorité). Le thème d’un créateur est le plus fréquent parmi ses vidéos classées. Aucune attribution manuelle ni connaissance extérieure aux tableaux : classification indicative.</t>
  </si>
  <si>
    <t>Hashtag générique</t>
  </si>
  <si>
    <r>
      <rPr>
        <sz val="10"/>
        <color rgb="FF000000"/>
        <rFont val="Arial"/>
        <family val="2"/>
      </rPr>
      <t>Légende contenant #fyp, #foryou, #foryoupage, #viral, #parati, #xyzbca, #fy, #4u, #trending ou #fyp</t>
    </r>
    <r>
      <rPr>
        <sz val="10"/>
        <color rgb="FF000000"/>
        <rFont val="Noto Sans CJK SC"/>
        <family val="2"/>
      </rPr>
      <t>シ</t>
    </r>
    <r>
      <rPr>
        <sz val="10"/>
        <color rgb="FF000000"/>
        <rFont val="Arial"/>
        <family val="2"/>
      </rPr>
      <t>.</t>
    </r>
  </si>
  <si>
    <t>TreeMap</t>
  </si>
  <si>
    <t>Dessiné en cellules à partir des vues cumulées par créateur (algorithme « squarified »). Les créateurs non retenus pour le contact sont regroupés par catégorie ou désignés par une référence.</t>
  </si>
  <si>
    <t>3. DONNÉES PERSONNELLES</t>
  </si>
  <si>
    <t>Conservé</t>
  </si>
  <si>
    <t>Version publique : les @ des créateurs sont remplacés par leurs références internes, sauf le compte d’organisation BTS. Version de travail : @ des 19 créateurs proposés au contact (finalité : choisir des partenaires), références anonymes (TND-xxx, AIM-xxx, HSH-xxx) pour tous les autres, mesures de performance agrégées ou par vidéo.</t>
  </si>
  <si>
    <t>Retiré</t>
  </si>
  <si>
    <t>Identifiants numériques des comptes, vidéos et musiques, pseudos affichés, biographies, photos de profil, liens vers vidéos, vignettes et sons, légendes complètes, indicateurs de compte privé.</t>
  </si>
  <si>
    <t>À valider</t>
  </si>
  <si>
    <t>Les contenus publics restent des données personnelles : valider la finalité et la durée de conservation avec le DPO ; extraction de 2021 à purger ou actualiser.</t>
  </si>
  <si>
    <t>4. CE QUE CES DONNÉES NE PEUVENT PAS DIRE</t>
  </si>
  <si>
    <t>•  Aucune vidéo peu performante : les extraits ne contiennent que du contenu mis en avant. On compare des succès entre eux ; on ne sait pas ce qui sépare un succès d’un échec.</t>
  </si>
  <si>
    <t>•  Corrélations, pas causalité : changer un réglage (durée, légende…) ne garantit pas le même résultat.</t>
  </si>
  <si>
    <t>•  Aucun résultat business (ventes, notoriété, coût, sécurité de marque) : l’engagement n’est pas la conversion.</t>
  </si>
  <si>
    <t>•  Instantané de mai à août 2021 ; échantillons de 100 vidéos : écarts entre catégories indicatifs. Abonnés disponibles pour le seul fichier hashtag.</t>
  </si>
  <si>
    <t>Réf. vidéo</t>
  </si>
  <si>
    <t>Réf. créateur</t>
  </si>
  <si>
    <t>Compte (si retenu pour contact)</t>
  </si>
  <si>
    <t>Thème du créateur</t>
  </si>
  <si>
    <t>Durée (s)</t>
  </si>
  <si>
    <t>Nb hashtags</t>
  </si>
  <si>
    <t>Longueur légende (car.)</t>
  </si>
  <si>
    <t>Hashtag générique (1/0)</t>
  </si>
  <si>
    <t>J’aime</t>
  </si>
  <si>
    <t>Commentaires</t>
  </si>
  <si>
    <t>Partages</t>
  </si>
  <si>
    <t>Taux de J’aime</t>
  </si>
  <si>
    <t>Vues par abonné</t>
  </si>
  <si>
    <t>Profil</t>
  </si>
  <si>
    <t>Succès complet (1/0)</t>
  </si>
  <si>
    <t>T001</t>
  </si>
  <si>
    <t>Oui</t>
  </si>
  <si>
    <t>T002</t>
  </si>
  <si>
    <t>TND-002</t>
  </si>
  <si>
    <t>Inconnu</t>
  </si>
  <si>
    <t>T003</t>
  </si>
  <si>
    <t>Non</t>
  </si>
  <si>
    <t>T004</t>
  </si>
  <si>
    <t>T005</t>
  </si>
  <si>
    <t>TND-005</t>
  </si>
  <si>
    <t>T006</t>
  </si>
  <si>
    <t>TND-006</t>
  </si>
  <si>
    <t>T007</t>
  </si>
  <si>
    <t>TND-007</t>
  </si>
  <si>
    <t>T008</t>
  </si>
  <si>
    <t>T009</t>
  </si>
  <si>
    <t>TND-009</t>
  </si>
  <si>
    <t>T010</t>
  </si>
  <si>
    <t>T011</t>
  </si>
  <si>
    <t>T012</t>
  </si>
  <si>
    <t>TND-011</t>
  </si>
  <si>
    <t>T013</t>
  </si>
  <si>
    <t>TND-012</t>
  </si>
  <si>
    <t>T014</t>
  </si>
  <si>
    <t>T015</t>
  </si>
  <si>
    <t>T016</t>
  </si>
  <si>
    <t>TND-015</t>
  </si>
  <si>
    <t>T017</t>
  </si>
  <si>
    <t>TND-016</t>
  </si>
  <si>
    <t>T018</t>
  </si>
  <si>
    <t>TND-017</t>
  </si>
  <si>
    <t>T019</t>
  </si>
  <si>
    <t>TND-018</t>
  </si>
  <si>
    <t>T020</t>
  </si>
  <si>
    <t>TND-019</t>
  </si>
  <si>
    <t>T021</t>
  </si>
  <si>
    <t>TND-020</t>
  </si>
  <si>
    <t>T022</t>
  </si>
  <si>
    <t>TND-021</t>
  </si>
  <si>
    <t>T023</t>
  </si>
  <si>
    <t>T024</t>
  </si>
  <si>
    <t>TND-022</t>
  </si>
  <si>
    <t>T025</t>
  </si>
  <si>
    <t>T026</t>
  </si>
  <si>
    <t>TND-024</t>
  </si>
  <si>
    <t>T027</t>
  </si>
  <si>
    <t>TND-025</t>
  </si>
  <si>
    <t>T028</t>
  </si>
  <si>
    <t>TND-026</t>
  </si>
  <si>
    <t>T029</t>
  </si>
  <si>
    <t>TND-027</t>
  </si>
  <si>
    <t>T030</t>
  </si>
  <si>
    <t>T031</t>
  </si>
  <si>
    <t>T032</t>
  </si>
  <si>
    <t>T033</t>
  </si>
  <si>
    <t>TND-029</t>
  </si>
  <si>
    <t>T034</t>
  </si>
  <si>
    <t>T035</t>
  </si>
  <si>
    <t>TND-031</t>
  </si>
  <si>
    <t>T036</t>
  </si>
  <si>
    <t>TND-032</t>
  </si>
  <si>
    <t>T037</t>
  </si>
  <si>
    <t>T038</t>
  </si>
  <si>
    <t>TND-034</t>
  </si>
  <si>
    <t>T039</t>
  </si>
  <si>
    <t>TND-035</t>
  </si>
  <si>
    <t>T040</t>
  </si>
  <si>
    <t>TND-036</t>
  </si>
  <si>
    <t>T041</t>
  </si>
  <si>
    <t>T042</t>
  </si>
  <si>
    <t>T043</t>
  </si>
  <si>
    <t>TND-038</t>
  </si>
  <si>
    <t>T044</t>
  </si>
  <si>
    <t>T045</t>
  </si>
  <si>
    <t>TND-040</t>
  </si>
  <si>
    <t>T046</t>
  </si>
  <si>
    <t>TND-041</t>
  </si>
  <si>
    <t>T047</t>
  </si>
  <si>
    <t>T048</t>
  </si>
  <si>
    <t>TND-043</t>
  </si>
  <si>
    <t>T049</t>
  </si>
  <si>
    <t>T050</t>
  </si>
  <si>
    <t>TND-045</t>
  </si>
  <si>
    <t>T051</t>
  </si>
  <si>
    <t>TND-046</t>
  </si>
  <si>
    <t>T052</t>
  </si>
  <si>
    <t>TND-047</t>
  </si>
  <si>
    <t>T053</t>
  </si>
  <si>
    <t>TND-048</t>
  </si>
  <si>
    <t>T054</t>
  </si>
  <si>
    <t>T055</t>
  </si>
  <si>
    <t>TND-050</t>
  </si>
  <si>
    <t>T056</t>
  </si>
  <si>
    <t>T057</t>
  </si>
  <si>
    <t>T058</t>
  </si>
  <si>
    <t>T059</t>
  </si>
  <si>
    <t>T060</t>
  </si>
  <si>
    <t>TND-054</t>
  </si>
  <si>
    <t>T061</t>
  </si>
  <si>
    <t>T062</t>
  </si>
  <si>
    <t>TND-055</t>
  </si>
  <si>
    <t>T063</t>
  </si>
  <si>
    <t>TND-056</t>
  </si>
  <si>
    <t>T064</t>
  </si>
  <si>
    <t>T065</t>
  </si>
  <si>
    <t>TND-058</t>
  </si>
  <si>
    <t>T066</t>
  </si>
  <si>
    <t>TND-059</t>
  </si>
  <si>
    <t>T067</t>
  </si>
  <si>
    <t>T068</t>
  </si>
  <si>
    <t>TND-061</t>
  </si>
  <si>
    <t>T069</t>
  </si>
  <si>
    <t>TND-062</t>
  </si>
  <si>
    <t>T070</t>
  </si>
  <si>
    <t>T071</t>
  </si>
  <si>
    <t>TND-063</t>
  </si>
  <si>
    <t>T072</t>
  </si>
  <si>
    <t>TND-064</t>
  </si>
  <si>
    <t>T073</t>
  </si>
  <si>
    <t>TND-065</t>
  </si>
  <si>
    <t>T074</t>
  </si>
  <si>
    <t>TND-066</t>
  </si>
  <si>
    <t>T075</t>
  </si>
  <si>
    <t>T076</t>
  </si>
  <si>
    <t>T077</t>
  </si>
  <si>
    <t>TND-068</t>
  </si>
  <si>
    <t>T078</t>
  </si>
  <si>
    <t>T079</t>
  </si>
  <si>
    <t>TND-069</t>
  </si>
  <si>
    <t>T080</t>
  </si>
  <si>
    <t>TND-070</t>
  </si>
  <si>
    <t>T081</t>
  </si>
  <si>
    <t>T082</t>
  </si>
  <si>
    <t>T083</t>
  </si>
  <si>
    <t>TND-072</t>
  </si>
  <si>
    <t>T084</t>
  </si>
  <si>
    <t>T085</t>
  </si>
  <si>
    <t>TND-074</t>
  </si>
  <si>
    <t>T086</t>
  </si>
  <si>
    <t>TND-075</t>
  </si>
  <si>
    <t>T087</t>
  </si>
  <si>
    <t>T088</t>
  </si>
  <si>
    <t>TND-076</t>
  </si>
  <si>
    <t>T089</t>
  </si>
  <si>
    <t>TND-077</t>
  </si>
  <si>
    <t>T090</t>
  </si>
  <si>
    <t>TND-078</t>
  </si>
  <si>
    <t>T091</t>
  </si>
  <si>
    <t>TND-079</t>
  </si>
  <si>
    <t>T092</t>
  </si>
  <si>
    <t>T093</t>
  </si>
  <si>
    <t>T094</t>
  </si>
  <si>
    <t>T095</t>
  </si>
  <si>
    <t>T096</t>
  </si>
  <si>
    <t>TND-080</t>
  </si>
  <si>
    <t>T097</t>
  </si>
  <si>
    <t>TND-081</t>
  </si>
  <si>
    <t>T098</t>
  </si>
  <si>
    <t>TND-082</t>
  </si>
  <si>
    <t>T099</t>
  </si>
  <si>
    <t>TND-083</t>
  </si>
  <si>
    <t>T100</t>
  </si>
  <si>
    <t>TND-084</t>
  </si>
  <si>
    <t>A001</t>
  </si>
  <si>
    <t>AIM-001</t>
  </si>
  <si>
    <t>n/d</t>
  </si>
  <si>
    <t>A002</t>
  </si>
  <si>
    <t>AIM-002</t>
  </si>
  <si>
    <t>A003</t>
  </si>
  <si>
    <t>AIM-003</t>
  </si>
  <si>
    <t>A004</t>
  </si>
  <si>
    <t>AIM-004</t>
  </si>
  <si>
    <t>A005</t>
  </si>
  <si>
    <t>AIM-005</t>
  </si>
  <si>
    <t>A006</t>
  </si>
  <si>
    <t>AIM-006</t>
  </si>
  <si>
    <t>A007</t>
  </si>
  <si>
    <t>AIM-007</t>
  </si>
  <si>
    <t>A008</t>
  </si>
  <si>
    <t>AIM-008</t>
  </si>
  <si>
    <t>A009</t>
  </si>
  <si>
    <t>AIM-009</t>
  </si>
  <si>
    <t>A010</t>
  </si>
  <si>
    <t>AIM-010</t>
  </si>
  <si>
    <t>A011</t>
  </si>
  <si>
    <t>AIM-011</t>
  </si>
  <si>
    <t>A012</t>
  </si>
  <si>
    <t>AIM-012</t>
  </si>
  <si>
    <t>A013</t>
  </si>
  <si>
    <t>AIM-013</t>
  </si>
  <si>
    <t>A014</t>
  </si>
  <si>
    <t>AIM-014</t>
  </si>
  <si>
    <t>A015</t>
  </si>
  <si>
    <t>AIM-015</t>
  </si>
  <si>
    <t>A016</t>
  </si>
  <si>
    <t>AIM-016</t>
  </si>
  <si>
    <t>A017</t>
  </si>
  <si>
    <t>AIM-017</t>
  </si>
  <si>
    <t>A018</t>
  </si>
  <si>
    <t>AIM-018</t>
  </si>
  <si>
    <t>A019</t>
  </si>
  <si>
    <t>AIM-019</t>
  </si>
  <si>
    <t>A020</t>
  </si>
  <si>
    <t>AIM-020</t>
  </si>
  <si>
    <t>A021</t>
  </si>
  <si>
    <t>AIM-021</t>
  </si>
  <si>
    <t>A022</t>
  </si>
  <si>
    <t>AIM-022</t>
  </si>
  <si>
    <t>A023</t>
  </si>
  <si>
    <t>AIM-023</t>
  </si>
  <si>
    <t>A024</t>
  </si>
  <si>
    <t>AIM-024</t>
  </si>
  <si>
    <t>A025</t>
  </si>
  <si>
    <t>AIM-025</t>
  </si>
  <si>
    <t>A026</t>
  </si>
  <si>
    <t>AIM-026</t>
  </si>
  <si>
    <t>A027</t>
  </si>
  <si>
    <t>AIM-027</t>
  </si>
  <si>
    <t>A028</t>
  </si>
  <si>
    <t>A029</t>
  </si>
  <si>
    <t>AIM-028</t>
  </si>
  <si>
    <t>A030</t>
  </si>
  <si>
    <t>AIM-029</t>
  </si>
  <si>
    <t>A031</t>
  </si>
  <si>
    <t>AIM-030</t>
  </si>
  <si>
    <t>A032</t>
  </si>
  <si>
    <t>AIM-031</t>
  </si>
  <si>
    <t>A033</t>
  </si>
  <si>
    <t>AIM-032</t>
  </si>
  <si>
    <t>A034</t>
  </si>
  <si>
    <t>AIM-033</t>
  </si>
  <si>
    <t>A035</t>
  </si>
  <si>
    <t>AIM-034</t>
  </si>
  <si>
    <t>A036</t>
  </si>
  <si>
    <t>AIM-035</t>
  </si>
  <si>
    <t>A037</t>
  </si>
  <si>
    <t>AIM-036</t>
  </si>
  <si>
    <t>A038</t>
  </si>
  <si>
    <t>A039</t>
  </si>
  <si>
    <t>AIM-037</t>
  </si>
  <si>
    <t>A040</t>
  </si>
  <si>
    <t>AIM-038</t>
  </si>
  <si>
    <t>A041</t>
  </si>
  <si>
    <t>AIM-039</t>
  </si>
  <si>
    <t>A042</t>
  </si>
  <si>
    <t>AIM-040</t>
  </si>
  <si>
    <t>A043</t>
  </si>
  <si>
    <t>AIM-041</t>
  </si>
  <si>
    <t>A044</t>
  </si>
  <si>
    <t>AIM-042</t>
  </si>
  <si>
    <t>A045</t>
  </si>
  <si>
    <t>AIM-043</t>
  </si>
  <si>
    <t>A046</t>
  </si>
  <si>
    <t>A047</t>
  </si>
  <si>
    <t>AIM-044</t>
  </si>
  <si>
    <t>A048</t>
  </si>
  <si>
    <t>AIM-045</t>
  </si>
  <si>
    <t>A049</t>
  </si>
  <si>
    <t>AIM-046</t>
  </si>
  <si>
    <t>A050</t>
  </si>
  <si>
    <t>AIM-047</t>
  </si>
  <si>
    <t>A051</t>
  </si>
  <si>
    <t>AIM-048</t>
  </si>
  <si>
    <t>A052</t>
  </si>
  <si>
    <t>AIM-049</t>
  </si>
  <si>
    <t>A053</t>
  </si>
  <si>
    <t>A054</t>
  </si>
  <si>
    <t>AIM-050</t>
  </si>
  <si>
    <t>A055</t>
  </si>
  <si>
    <t>AIM-051</t>
  </si>
  <si>
    <t>A056</t>
  </si>
  <si>
    <t>AIM-052</t>
  </si>
  <si>
    <t>A057</t>
  </si>
  <si>
    <t>AIM-053</t>
  </si>
  <si>
    <t>A058</t>
  </si>
  <si>
    <t>AIM-054</t>
  </si>
  <si>
    <t>A059</t>
  </si>
  <si>
    <t>AIM-055</t>
  </si>
  <si>
    <t>A060</t>
  </si>
  <si>
    <t>A061</t>
  </si>
  <si>
    <t>AIM-056</t>
  </si>
  <si>
    <t>A062</t>
  </si>
  <si>
    <t>A063</t>
  </si>
  <si>
    <t>AIM-057</t>
  </si>
  <si>
    <t>A064</t>
  </si>
  <si>
    <t>AIM-058</t>
  </si>
  <si>
    <t>A065</t>
  </si>
  <si>
    <t>AIM-059</t>
  </si>
  <si>
    <t>A066</t>
  </si>
  <si>
    <t>AIM-060</t>
  </si>
  <si>
    <t>A067</t>
  </si>
  <si>
    <t>AIM-061</t>
  </si>
  <si>
    <t>A068</t>
  </si>
  <si>
    <t>AIM-062</t>
  </si>
  <si>
    <t>A069</t>
  </si>
  <si>
    <t>AIM-063</t>
  </si>
  <si>
    <t>A070</t>
  </si>
  <si>
    <t>AIM-064</t>
  </si>
  <si>
    <t>A071</t>
  </si>
  <si>
    <t>AIM-065</t>
  </si>
  <si>
    <t>A072</t>
  </si>
  <si>
    <t>AIM-066</t>
  </si>
  <si>
    <t>A073</t>
  </si>
  <si>
    <t>AIM-067</t>
  </si>
  <si>
    <t>A074</t>
  </si>
  <si>
    <t>AIM-068</t>
  </si>
  <si>
    <t>A075</t>
  </si>
  <si>
    <t>AIM-069</t>
  </si>
  <si>
    <t>A076</t>
  </si>
  <si>
    <t>AIM-070</t>
  </si>
  <si>
    <t>A077</t>
  </si>
  <si>
    <t>AIM-071</t>
  </si>
  <si>
    <t>A078</t>
  </si>
  <si>
    <t>AIM-072</t>
  </si>
  <si>
    <t>A079</t>
  </si>
  <si>
    <t>AIM-073</t>
  </si>
  <si>
    <t>A080</t>
  </si>
  <si>
    <t>AIM-074</t>
  </si>
  <si>
    <t>A081</t>
  </si>
  <si>
    <t>AIM-075</t>
  </si>
  <si>
    <t>A082</t>
  </si>
  <si>
    <t>AIM-076</t>
  </si>
  <si>
    <t>A083</t>
  </si>
  <si>
    <t>AIM-077</t>
  </si>
  <si>
    <t>A084</t>
  </si>
  <si>
    <t>AIM-078</t>
  </si>
  <si>
    <t>A085</t>
  </si>
  <si>
    <t>AIM-079</t>
  </si>
  <si>
    <t>A086</t>
  </si>
  <si>
    <t>AIM-080</t>
  </si>
  <si>
    <t>A087</t>
  </si>
  <si>
    <t>AIM-081</t>
  </si>
  <si>
    <t>A088</t>
  </si>
  <si>
    <t>AIM-082</t>
  </si>
  <si>
    <t>A089</t>
  </si>
  <si>
    <t>AIM-083</t>
  </si>
  <si>
    <t>A090</t>
  </si>
  <si>
    <t>AIM-084</t>
  </si>
  <si>
    <t>A091</t>
  </si>
  <si>
    <t>AIM-085</t>
  </si>
  <si>
    <t>A092</t>
  </si>
  <si>
    <t>AIM-086</t>
  </si>
  <si>
    <t>A093</t>
  </si>
  <si>
    <t>AIM-087</t>
  </si>
  <si>
    <t>A094</t>
  </si>
  <si>
    <t>AIM-088</t>
  </si>
  <si>
    <t>A095</t>
  </si>
  <si>
    <t>AIM-089</t>
  </si>
  <si>
    <t>A096</t>
  </si>
  <si>
    <t>AIM-090</t>
  </si>
  <si>
    <t>A097</t>
  </si>
  <si>
    <t>AIM-091</t>
  </si>
  <si>
    <t>A098</t>
  </si>
  <si>
    <t>A099</t>
  </si>
  <si>
    <t>A100</t>
  </si>
  <si>
    <t>AIM-092</t>
  </si>
  <si>
    <t>O001</t>
  </si>
  <si>
    <t>OFF-001</t>
  </si>
  <si>
    <t>Compte officiel de la plateforme</t>
  </si>
  <si>
    <t>O002</t>
  </si>
  <si>
    <t>O003</t>
  </si>
  <si>
    <t>O004</t>
  </si>
  <si>
    <t>O005</t>
  </si>
  <si>
    <t>O006</t>
  </si>
  <si>
    <t>O007</t>
  </si>
  <si>
    <t>O008</t>
  </si>
  <si>
    <t>O009</t>
  </si>
  <si>
    <t>O010</t>
  </si>
  <si>
    <t>O011</t>
  </si>
  <si>
    <t>O012</t>
  </si>
  <si>
    <t>O013</t>
  </si>
  <si>
    <t>O014</t>
  </si>
  <si>
    <t>O015</t>
  </si>
  <si>
    <t>O016</t>
  </si>
  <si>
    <t>O017</t>
  </si>
  <si>
    <t>O018</t>
  </si>
  <si>
    <t>O019</t>
  </si>
  <si>
    <t>O020</t>
  </si>
  <si>
    <t>O021</t>
  </si>
  <si>
    <t>O022</t>
  </si>
  <si>
    <t>O023</t>
  </si>
  <si>
    <t>O024</t>
  </si>
  <si>
    <t>O025</t>
  </si>
  <si>
    <t>O026</t>
  </si>
  <si>
    <t>O027</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</si>
  <si>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</si>
  <si>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</si>
  <si>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</si>
  <si>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</si>
  <si>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</si>
  <si>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</si>
  <si>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</si>
  <si>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</si>
  <si>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</si>
  <si>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</si>
  <si>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</si>
  <si>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</si>
  <si>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</si>
  <si>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</si>
  <si>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</si>
  <si>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</si>
  <si>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</si>
  <si>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</si>
  <si>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</si>
  <si>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</si>
  <si>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</si>
  <si>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</si>
  <si>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</si>
  <si>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</si>
  <si>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</si>
  <si>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</si>
  <si>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</si>
  <si>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</si>
  <si>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</si>
  <si>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</si>
  <si>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</si>
  <si>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</si>
  <si>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</si>
  <si>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</si>
  <si>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</si>
  <si>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</si>
  <si>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</si>
  <si>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</si>
  <si>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</si>
  <si>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</si>
  <si>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</si>
  <si>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</si>
  <si>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</si>
  <si>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</si>
  <si>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</si>
  <si>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</si>
  <si>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</si>
  <si>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</si>
  <si>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</si>
  <si>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</si>
  <si>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</si>
  <si>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</si>
  <si>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</si>
  <si>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</si>
  <si>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</si>
  <si>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</si>
  <si>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</si>
  <si>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</si>
  <si>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</si>
  <si>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</si>
  <si>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</si>
  <si>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</si>
  <si>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O090</t>
  </si>
  <si>
    <t>O091</t>
  </si>
  <si>
    <t>O092</t>
  </si>
  <si>
    <t>O093</t>
  </si>
  <si>
    <t>O094</t>
  </si>
  <si>
    <t>O095</t>
  </si>
  <si>
    <t>O096</t>
  </si>
  <si>
    <t>O097</t>
  </si>
  <si>
    <t>O098</t>
  </si>
  <si>
    <t>O099</t>
  </si>
  <si>
    <t>O100</t>
  </si>
  <si>
    <t>H001</t>
  </si>
  <si>
    <t>HSH-001</t>
  </si>
  <si>
    <t>H002</t>
  </si>
  <si>
    <t>HSH-002</t>
  </si>
  <si>
    <t>H003</t>
  </si>
  <si>
    <t>HSH-003</t>
  </si>
  <si>
    <t>H004</t>
  </si>
  <si>
    <t>HSH-004</t>
  </si>
  <si>
    <t>H005</t>
  </si>
  <si>
    <t>HSH-005</t>
  </si>
  <si>
    <t>H006</t>
  </si>
  <si>
    <t>HSH-006</t>
  </si>
  <si>
    <t>H007</t>
  </si>
  <si>
    <t>HSH-007</t>
  </si>
  <si>
    <t>H008</t>
  </si>
  <si>
    <t>H009</t>
  </si>
  <si>
    <t>HSH-008</t>
  </si>
  <si>
    <t>H010</t>
  </si>
  <si>
    <t>H011</t>
  </si>
  <si>
    <t>H012</t>
  </si>
  <si>
    <t>H013</t>
  </si>
  <si>
    <t>HSH-010</t>
  </si>
  <si>
    <t>H014</t>
  </si>
  <si>
    <t>HSH-011</t>
  </si>
  <si>
    <t>H015</t>
  </si>
  <si>
    <t>HSH-012</t>
  </si>
  <si>
    <t>H016</t>
  </si>
  <si>
    <t>H017</t>
  </si>
  <si>
    <t>H018</t>
  </si>
  <si>
    <t>HSH-014</t>
  </si>
  <si>
    <t>H019</t>
  </si>
  <si>
    <t>HSH-015</t>
  </si>
  <si>
    <t>H020</t>
  </si>
  <si>
    <t>HSH-016</t>
  </si>
  <si>
    <t>H021</t>
  </si>
  <si>
    <t>HSH-017</t>
  </si>
  <si>
    <t>H022</t>
  </si>
  <si>
    <t>H023</t>
  </si>
  <si>
    <t>H024</t>
  </si>
  <si>
    <t>HSH-019</t>
  </si>
  <si>
    <t>H025</t>
  </si>
  <si>
    <t>HSH-020</t>
  </si>
  <si>
    <t>H026</t>
  </si>
  <si>
    <t>H027</t>
  </si>
  <si>
    <t>HSH-021</t>
  </si>
  <si>
    <t>H028</t>
  </si>
  <si>
    <t>HSH-022</t>
  </si>
  <si>
    <t>H029</t>
  </si>
  <si>
    <t>HSH-023</t>
  </si>
  <si>
    <t>H030</t>
  </si>
  <si>
    <t>HSH-024</t>
  </si>
  <si>
    <t>H031</t>
  </si>
  <si>
    <t>H032</t>
  </si>
  <si>
    <t>HSH-026</t>
  </si>
  <si>
    <t>H033</t>
  </si>
  <si>
    <t>HSH-027</t>
  </si>
  <si>
    <t>H034</t>
  </si>
  <si>
    <t>HSH-028</t>
  </si>
  <si>
    <t>H035</t>
  </si>
  <si>
    <t>HSH-029</t>
  </si>
  <si>
    <t>H036</t>
  </si>
  <si>
    <t>HSH-030</t>
  </si>
  <si>
    <t>H037</t>
  </si>
  <si>
    <t>HSH-031</t>
  </si>
  <si>
    <t>H038</t>
  </si>
  <si>
    <t>H039</t>
  </si>
  <si>
    <t>HSH-032</t>
  </si>
  <si>
    <t>H040</t>
  </si>
  <si>
    <t>HSH-033</t>
  </si>
  <si>
    <t>H041</t>
  </si>
  <si>
    <t>H042</t>
  </si>
  <si>
    <t>HSH-034</t>
  </si>
  <si>
    <t>H043</t>
  </si>
  <si>
    <t>HSH-035</t>
  </si>
  <si>
    <t>H044</t>
  </si>
  <si>
    <t>H045</t>
  </si>
  <si>
    <t>HSH-036</t>
  </si>
  <si>
    <t>H046</t>
  </si>
  <si>
    <t>HSH-037</t>
  </si>
  <si>
    <t>H047</t>
  </si>
  <si>
    <t>HSH-038</t>
  </si>
  <si>
    <t>H048</t>
  </si>
  <si>
    <t>H049</t>
  </si>
  <si>
    <t>H050</t>
  </si>
  <si>
    <t>HSH-039</t>
  </si>
  <si>
    <t>H051</t>
  </si>
  <si>
    <t>HSH-040</t>
  </si>
  <si>
    <t>H052</t>
  </si>
  <si>
    <t>HSH-041</t>
  </si>
  <si>
    <t>H053</t>
  </si>
  <si>
    <t>H054</t>
  </si>
  <si>
    <t>H055</t>
  </si>
  <si>
    <t>HSH-043</t>
  </si>
  <si>
    <t>H056</t>
  </si>
  <si>
    <t>HSH-044</t>
  </si>
  <si>
    <t>H057</t>
  </si>
  <si>
    <t>HSH-045</t>
  </si>
  <si>
    <t>H058</t>
  </si>
  <si>
    <t>HSH-046</t>
  </si>
  <si>
    <t>H059</t>
  </si>
  <si>
    <t>H060</t>
  </si>
  <si>
    <t>HSH-047</t>
  </si>
  <si>
    <t>H061</t>
  </si>
  <si>
    <t>H062</t>
  </si>
  <si>
    <t>HSH-048</t>
  </si>
  <si>
    <t>H063</t>
  </si>
  <si>
    <t>HSH-049</t>
  </si>
  <si>
    <t>H064</t>
  </si>
  <si>
    <t>HSH-050</t>
  </si>
  <si>
    <t>H065</t>
  </si>
  <si>
    <t>H066</t>
  </si>
  <si>
    <t>HSH-051</t>
  </si>
  <si>
    <t>H067</t>
  </si>
  <si>
    <t>HSH-052</t>
  </si>
  <si>
    <t>H068</t>
  </si>
  <si>
    <t>HSH-053</t>
  </si>
  <si>
    <t>H069</t>
  </si>
  <si>
    <t>HSH-054</t>
  </si>
  <si>
    <t>H070</t>
  </si>
  <si>
    <t>HSH-055</t>
  </si>
  <si>
    <t>H071</t>
  </si>
  <si>
    <t>H072</t>
  </si>
  <si>
    <t>HSH-056</t>
  </si>
  <si>
    <t>H073</t>
  </si>
  <si>
    <t>H074</t>
  </si>
  <si>
    <t>HSH-058</t>
  </si>
  <si>
    <t>H075</t>
  </si>
  <si>
    <t>H076</t>
  </si>
  <si>
    <t>HSH-059</t>
  </si>
  <si>
    <t>H077</t>
  </si>
  <si>
    <t>H078</t>
  </si>
  <si>
    <t>HSH-060</t>
  </si>
  <si>
    <t>H079</t>
  </si>
  <si>
    <t>HSH-061</t>
  </si>
  <si>
    <t>H080</t>
  </si>
  <si>
    <t>HSH-062</t>
  </si>
  <si>
    <t>H081</t>
  </si>
  <si>
    <t>HSH-063</t>
  </si>
  <si>
    <t>H082</t>
  </si>
  <si>
    <t>HSH-064</t>
  </si>
  <si>
    <t>H083</t>
  </si>
  <si>
    <t>H084</t>
  </si>
  <si>
    <t>HSH-065</t>
  </si>
  <si>
    <t>H085</t>
  </si>
  <si>
    <t>HSH-066</t>
  </si>
  <si>
    <t>H086</t>
  </si>
  <si>
    <t>H087</t>
  </si>
  <si>
    <t>HSH-068</t>
  </si>
  <si>
    <t>H088</t>
  </si>
  <si>
    <t>HSH-069</t>
  </si>
  <si>
    <t>H089</t>
  </si>
  <si>
    <t>HSH-070</t>
  </si>
  <si>
    <t>H090</t>
  </si>
  <si>
    <t>HSH-071</t>
  </si>
  <si>
    <t>H091</t>
  </si>
  <si>
    <t>HSH-072</t>
  </si>
  <si>
    <t>H092</t>
  </si>
  <si>
    <t>H093</t>
  </si>
  <si>
    <t>HSH-073</t>
  </si>
  <si>
    <t>H094</t>
  </si>
  <si>
    <t>HSH-074</t>
  </si>
  <si>
    <t>H095</t>
  </si>
  <si>
    <t>H096</t>
  </si>
  <si>
    <t>HSH-075</t>
  </si>
  <si>
    <t>H097</t>
  </si>
  <si>
    <t>HSH-076</t>
  </si>
  <si>
    <t>H098</t>
  </si>
  <si>
    <t>H099</t>
  </si>
  <si>
    <t>HSH-078</t>
  </si>
  <si>
    <t>H100</t>
  </si>
  <si>
    <t>HSH-079</t>
  </si>
  <si>
    <t>Les petits comptes engagent le plus : être gros ne suffit pas, être petit ne veut pas dire pas ou moins de succès.</t>
  </si>
  <si>
    <t>Engagement médian des comptes de moins d’1 M d’abonnés (contre 14–15 % pour les plus gros) (tiktok_funny_hashtag_videos)</t>
  </si>
  <si>
    <t>Engagement du contenu de créateurs vs contenu du compte officiel (trending_videos1 &amp; tiktok_collected_videos)</t>
  </si>
  <si>
    <t>Taux de J’aime des vidéos à succès, par rapport aux autres (trending_videos)</t>
  </si>
  <si>
    <t>des vidéos en tendance (trending_videos) cumulent portée et engagement (« succès complet »)</t>
  </si>
  <si>
    <t>Taux d’engagement médian des vidéos en tendance (trending_videos)</t>
  </si>
  <si>
    <t xml:space="preserve">tiktok_collected_liked_vide </t>
  </si>
  <si>
    <t xml:space="preserve">tiktok_funny_hashtag_videos </t>
  </si>
  <si>
    <r>
      <t xml:space="preserve">Une vidéo est un succès quand elle cumule deux choses : une </t>
    </r>
    <r>
      <rPr>
        <b/>
        <sz val="10"/>
        <rFont val="Arial"/>
        <family val="2"/>
      </rPr>
      <t>PORTÉE</t>
    </r>
    <r>
      <rPr>
        <sz val="10"/>
        <rFont val="Arial"/>
        <family val="2"/>
      </rPr>
      <t xml:space="preserve"> (vues ≥ médiane du fichier) et un </t>
    </r>
    <r>
      <rPr>
        <b/>
        <sz val="10"/>
        <rFont val="Arial"/>
        <family val="2"/>
      </rPr>
      <t>ENGAGEMENT</t>
    </r>
    <r>
      <rPr>
        <sz val="10"/>
        <rFont val="Arial"/>
        <family val="2"/>
      </rPr>
      <t xml:space="preserve"> (taux d’engagement ≥ médiane du fichier).</t>
    </r>
  </si>
  <si>
    <r>
      <t xml:space="preserve">Un créateur est « à succès » quand son </t>
    </r>
    <r>
      <rPr>
        <b/>
        <sz val="10"/>
        <rFont val="Arial"/>
        <family val="2"/>
      </rPr>
      <t>taux d’engagement cumulé</t>
    </r>
    <r>
      <rPr>
        <sz val="10"/>
        <rFont val="Arial"/>
        <family val="2"/>
      </rPr>
      <t xml:space="preserve"> (toutes ses vidéos) </t>
    </r>
    <r>
      <rPr>
        <b/>
        <sz val="10"/>
        <rFont val="Arial"/>
        <family val="2"/>
      </rPr>
      <t>dépasse nettement la médiane</t>
    </r>
    <r>
      <rPr>
        <sz val="10"/>
        <rFont val="Arial"/>
        <family val="2"/>
      </rPr>
      <t xml:space="preserve"> ET que </t>
    </r>
    <r>
      <rPr>
        <b/>
        <sz val="10"/>
        <rFont val="Arial"/>
        <family val="2"/>
      </rPr>
      <t>ses vues cumulées dépassent la médiane d’une vidéo</t>
    </r>
    <r>
      <rPr>
        <sz val="10"/>
        <rFont val="Arial"/>
        <family val="2"/>
      </rPr>
      <t>.</t>
    </r>
  </si>
  <si>
    <t>Repères entre fichiers : le taux d’engagement médian varie fortement selon la façon dont le fichier a été constitué (compte officiel vs sélections de contenus populaires). On compare donc toujours une vidéo à la médiane des on fichier, jamais d’un fichier à l’autre.</t>
  </si>
  <si>
    <t>A. LES VIDÉOS À SUCCÈS COMPLET VS LES AUTRES (vidéos en tendance / trending_videos)</t>
  </si>
  <si>
    <t>Sélection par règles chiffrées, sans donnée externe. Seuls les @noms des créateurs retenus ici sont communiqués.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</si>
</sst>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M"/>
    <numFmt numFmtId="167" formatCode="0.0"/>
    <numFmt numFmtId="168" formatCode="#,##0.0"/>
  </numFmts>
  <fonts count="26">
    <font>
      <sz val="11"/>
      <color theme="1"/>
      <name val="Calibri"/>
      <family val="2"/>
      <charset val="1"/>
    </font>
    <font>
      <sz val="10"/>
      <name val="Arial"/>
      <family val="2"/>
    </font>
    <font>
      <b/>
      <sz val="18"/>
      <color rgb="FFFFFFFF"/>
      <name val="Arial"/>
      <family val="2"/>
    </font>
    <font>
      <i/>
      <sz val="9"/>
      <color rgb="FF595959"/>
      <name val="Arial"/>
      <family val="2"/>
    </font>
    <font>
      <b/>
      <sz val="11"/>
      <color rgb="FFFFFFFF"/>
      <name val="Arial"/>
      <family val="2"/>
    </font>
    <font>
      <sz val="10"/>
      <name val="Arial"/>
      <family val="2"/>
    </font>
    <font>
      <b/>
      <sz val="10"/>
      <color rgb="FF1F3864"/>
      <name val="Arial"/>
      <family val="2"/>
    </font>
    <font>
      <sz val="9"/>
      <color rgb="FF404040"/>
      <name val="Arial"/>
      <family val="2"/>
    </font>
    <font>
      <b/>
      <sz val="10"/>
      <name val="Arial"/>
      <family val="2"/>
    </font>
    <font>
      <u/>
      <sz val="10"/>
      <color rgb="FF0563C1"/>
      <name val="Arial"/>
      <family val="2"/>
    </font>
    <font>
      <b/>
      <sz val="16"/>
      <color rgb="FFFFFFFF"/>
      <name val="Arial"/>
      <family val="2"/>
    </font>
    <font>
      <b/>
      <sz val="10"/>
      <color rgb="FF000000"/>
      <name val="Arial"/>
      <family val="2"/>
    </font>
    <font>
      <sz val="10"/>
      <color rgb="FF000000"/>
      <name val="Arial"/>
      <family val="2"/>
    </font>
    <font>
      <sz val="10"/>
      <color rgb="FF0000FF"/>
      <name val="Arial"/>
      <family val="2"/>
    </font>
    <font>
      <b/>
      <sz val="10"/>
      <color rgb="FFFFFFFF"/>
      <name val="Arial"/>
      <family val="2"/>
    </font>
    <font>
      <b/>
      <sz val="10"/>
      <color rgb="FF1F1F1F"/>
      <name val="Arial"/>
      <family val="2"/>
    </font>
    <font>
      <sz val="10"/>
      <color rgb="FF7F7F7F"/>
      <name val="Arial"/>
      <family val="2"/>
    </font>
    <font>
      <sz val="10"/>
      <color rgb="FF000000"/>
      <name val="Noto Sans CJK SC"/>
      <family val="2"/>
    </font>
    <font>
      <sz val="9"/>
      <name val="Arial"/>
      <family val="2"/>
    </font>
    <font>
      <b/>
      <sz val="22"/>
      <color rgb="FF002060"/>
      <name val="Arial"/>
      <family val="2"/>
    </font>
    <font>
      <sz val="8"/>
      <name val="Calibri"/>
      <family val="2"/>
      <charset val="1"/>
    </font>
    <font>
      <sz val="10"/>
      <color rgb="FF1F1F1F"/>
      <name val="Arial"/>
      <family val="2"/>
    </font>
    <font>
      <sz val="10"/>
      <color theme="1"/>
      <name val="Arial"/>
      <family val="2"/>
    </font>
    <font>
      <sz val="10"/>
      <color rgb="FFFFFFFF"/>
      <name val="Arial"/>
      <family val="2"/>
    </font>
    <font>
      <sz val="10"/>
      <color theme="0"/>
      <name val="Arial"/>
      <family val="2"/>
    </font>
    <font>
      <b/>
      <sz val="10"/>
      <color theme="1"/>
      <name val="Arial"/>
      <family val="2"/>
    </font>
  </fonts>
  <fills count="15">
    <fill>
      <patternFill patternType="none"/>
    </fill>
    <fill>
      <patternFill patternType="gray125"/>
    </fill>
    <fill>
      <patternFill patternType="solid">
        <fgColor rgb="FF1F3864"/>
        <bgColor rgb="FF333399"/>
      </patternFill>
    </fill>
    <fill>
      <patternFill patternType="solid">
        <fgColor rgb="FFF2F2F2"/>
        <bgColor rgb="FFEAF1F8"/>
      </patternFill>
    </fill>
    <fill>
      <patternFill patternType="solid">
        <fgColor rgb="FF957D69"/>
        <bgColor rgb="FF008080"/>
      </patternFill>
    </fill>
    <fill>
      <patternFill patternType="solid">
        <fgColor theme="2" tint="-9.9978637043366805E-2"/>
        <bgColor rgb="FFD9D9D9"/>
      </patternFill>
    </fill>
    <fill>
      <patternFill patternType="solid">
        <fgColor theme="2" tint="-9.9978637043366805E-2"/>
        <bgColor rgb="FFF2F2F2"/>
      </patternFill>
    </fill>
    <fill>
      <patternFill patternType="solid">
        <fgColor rgb="FFDCB07B"/>
        <bgColor rgb="FFEAF1F8"/>
      </patternFill>
    </fill>
    <fill>
      <patternFill patternType="solid">
        <fgColor theme="9" tint="0.79998168889431442"/>
        <bgColor rgb="FFEAF1F8"/>
      </patternFill>
    </fill>
    <fill>
      <patternFill patternType="solid">
        <fgColor rgb="FFDCB07B"/>
        <bgColor rgb="FFE9C46A"/>
      </patternFill>
    </fill>
    <fill>
      <patternFill patternType="solid">
        <fgColor rgb="FFE6DED1"/>
        <bgColor rgb="FF7F7F7F"/>
      </patternFill>
    </fill>
    <fill>
      <patternFill patternType="solid">
        <fgColor theme="0" tint="-0.14999847407452621"/>
        <bgColor rgb="FFBFBFBF"/>
      </patternFill>
    </fill>
    <fill>
      <patternFill patternType="solid">
        <fgColor theme="6" tint="-0.249977111117893"/>
        <bgColor rgb="FF0E7C86"/>
      </patternFill>
    </fill>
    <fill>
      <patternFill patternType="solid">
        <fgColor rgb="FFFEE1A7"/>
        <bgColor rgb="FFF4A261"/>
      </patternFill>
    </fill>
    <fill>
      <patternFill patternType="solid">
        <fgColor rgb="FF6C5B51"/>
        <bgColor rgb="FFC55A11"/>
      </patternFill>
    </fill>
  </fills>
  <borders count="5">
    <border>
      <left/>
      <right/>
      <top/>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rgb="FFFFFFFF"/>
      </left>
      <right style="medium">
        <color rgb="FFFFFFFF"/>
      </right>
      <top style="medium">
        <color rgb="FFFFFFFF"/>
      </top>
      <bottom style="medium">
        <color rgb="FFFFFFFF"/>
      </bottom>
      <diagonal/>
    </border>
  </borders>
  <cellStyleXfs count="1">
    <xf numFmtId="0" fontId="0" fillId="0" borderId="0"/>
  </cellStyleXfs>
  <cellXfs count="87">
    <xf numFmtId="0" fontId="0" fillId="0" borderId="0" xfId="0"/>
    <xf numFmtId="0" fontId="8" fillId="0" borderId="1" xfId="0" applyFont="1" applyBorder="1" applyAlignment="1">
      <alignment vertical="center" wrapText="1"/>
    </xf>
    <xf numFmtId="0" fontId="8" fillId="0" borderId="1" xfId="0" applyFont="1" applyBorder="1"/>
    <xf numFmtId="0" fontId="0" fillId="0" borderId="1" xfId="0" applyBorder="1" applyAlignment="1">
      <alignment horizontal="center"/>
    </xf>
    <xf numFmtId="164" fontId="0" fillId="0" borderId="1" xfId="0" applyNumberFormat="1" applyBorder="1" applyAlignment="1">
      <alignment horizontal="center"/>
    </xf>
    <xf numFmtId="166" fontId="0" fillId="0" borderId="1" xfId="0" applyNumberFormat="1" applyBorder="1" applyAlignment="1">
      <alignment horizontal="center"/>
    </xf>
    <xf numFmtId="3" fontId="0" fillId="0" borderId="1" xfId="0" applyNumberFormat="1" applyBorder="1" applyAlignment="1">
      <alignment horizontal="center"/>
    </xf>
    <xf numFmtId="0" fontId="8" fillId="0" borderId="0" xfId="0" applyFont="1"/>
    <xf numFmtId="0" fontId="9" fillId="0" borderId="0" xfId="0" applyFont="1"/>
    <xf numFmtId="0" fontId="11" fillId="0" borderId="2" xfId="0" applyFont="1" applyBorder="1" applyAlignment="1">
      <alignment vertical="center" wrapText="1"/>
    </xf>
    <xf numFmtId="0" fontId="12" fillId="0" borderId="2" xfId="0" applyFont="1" applyBorder="1" applyAlignment="1">
      <alignment vertical="center" wrapText="1"/>
    </xf>
    <xf numFmtId="3" fontId="12" fillId="0" borderId="2" xfId="0" applyNumberFormat="1" applyFont="1" applyBorder="1" applyAlignment="1">
      <alignment vertical="center" wrapText="1"/>
    </xf>
    <xf numFmtId="166" fontId="12" fillId="0" borderId="2" xfId="0" applyNumberFormat="1" applyFont="1" applyBorder="1" applyAlignment="1">
      <alignment vertical="center" wrapText="1"/>
    </xf>
    <xf numFmtId="164" fontId="12" fillId="0" borderId="2" xfId="0" applyNumberFormat="1" applyFont="1" applyBorder="1" applyAlignment="1">
      <alignment vertical="center" wrapText="1"/>
    </xf>
    <xf numFmtId="9" fontId="12" fillId="0" borderId="2" xfId="0" applyNumberFormat="1" applyFont="1" applyBorder="1" applyAlignment="1">
      <alignment vertical="center" wrapText="1"/>
    </xf>
    <xf numFmtId="166" fontId="5" fillId="0" borderId="2" xfId="0" applyNumberFormat="1" applyFont="1" applyBorder="1" applyAlignment="1">
      <alignment horizontal="right" vertical="center"/>
    </xf>
    <xf numFmtId="164" fontId="5" fillId="0" borderId="2" xfId="0" applyNumberFormat="1" applyFont="1" applyBorder="1" applyAlignment="1">
      <alignment horizontal="right" vertical="center"/>
    </xf>
    <xf numFmtId="165" fontId="12" fillId="0" borderId="2" xfId="0" applyNumberFormat="1" applyFont="1" applyBorder="1" applyAlignment="1">
      <alignment vertical="center" wrapText="1"/>
    </xf>
    <xf numFmtId="10"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xf>
    <xf numFmtId="1" fontId="5" fillId="0" borderId="2" xfId="0" applyNumberFormat="1" applyFont="1" applyBorder="1" applyAlignment="1">
      <alignment horizontal="right" vertical="center"/>
    </xf>
    <xf numFmtId="3" fontId="13" fillId="0" borderId="2" xfId="0" applyNumberFormat="1" applyFont="1" applyBorder="1" applyAlignment="1">
      <alignment vertical="center" wrapText="1"/>
    </xf>
    <xf numFmtId="168" fontId="5" fillId="0" borderId="2" xfId="0" applyNumberFormat="1" applyFont="1" applyBorder="1" applyAlignment="1">
      <alignment horizontal="right" vertical="center"/>
    </xf>
    <xf numFmtId="0" fontId="12" fillId="0" borderId="2" xfId="0" applyFont="1" applyBorder="1" applyAlignment="1">
      <alignment horizontal="center" vertical="center" wrapText="1"/>
    </xf>
    <xf numFmtId="0" fontId="11" fillId="3" borderId="2" xfId="0" applyFont="1" applyFill="1" applyBorder="1" applyAlignment="1">
      <alignment vertical="center" wrapText="1"/>
    </xf>
    <xf numFmtId="3" fontId="11" fillId="3" borderId="2" xfId="0" applyNumberFormat="1" applyFont="1" applyFill="1" applyBorder="1" applyAlignment="1">
      <alignment vertical="center" wrapText="1"/>
    </xf>
    <xf numFmtId="166" fontId="11" fillId="3" borderId="2" xfId="0" applyNumberFormat="1" applyFont="1" applyFill="1" applyBorder="1" applyAlignment="1">
      <alignment vertical="center" wrapText="1"/>
    </xf>
    <xf numFmtId="9" fontId="11" fillId="3" borderId="2" xfId="0" applyNumberFormat="1" applyFont="1" applyFill="1" applyBorder="1" applyAlignment="1">
      <alignment vertical="center" wrapText="1"/>
    </xf>
    <xf numFmtId="164" fontId="11" fillId="3" borderId="2" xfId="0" applyNumberFormat="1" applyFont="1" applyFill="1" applyBorder="1" applyAlignment="1">
      <alignment vertical="center" wrapText="1"/>
    </xf>
    <xf numFmtId="0" fontId="12" fillId="3" borderId="2" xfId="0" applyFont="1" applyFill="1" applyBorder="1" applyAlignment="1">
      <alignment vertical="center" wrapText="1"/>
    </xf>
    <xf numFmtId="164" fontId="11" fillId="0" borderId="2" xfId="0" applyNumberFormat="1" applyFont="1" applyBorder="1" applyAlignment="1">
      <alignment vertical="center" wrapText="1"/>
    </xf>
    <xf numFmtId="0" fontId="16" fillId="0" borderId="2" xfId="0" applyFont="1" applyBorder="1" applyAlignment="1">
      <alignment horizontal="center" vertical="center" wrapText="1"/>
    </xf>
    <xf numFmtId="0" fontId="18" fillId="0" borderId="0" xfId="0" applyFont="1"/>
    <xf numFmtId="3" fontId="18" fillId="0" borderId="0" xfId="0" applyNumberFormat="1" applyFont="1"/>
    <xf numFmtId="164" fontId="18" fillId="0" borderId="0" xfId="0" applyNumberFormat="1" applyFont="1"/>
    <xf numFmtId="168" fontId="18" fillId="0" borderId="0" xfId="0" applyNumberFormat="1" applyFont="1"/>
    <xf numFmtId="0" fontId="2" fillId="2" borderId="0" xfId="0" applyFont="1" applyFill="1" applyAlignment="1">
      <alignment vertical="center" indent="1"/>
    </xf>
    <xf numFmtId="0" fontId="3" fillId="0" borderId="0" xfId="0" applyFont="1" applyAlignment="1">
      <alignment indent="1"/>
    </xf>
    <xf numFmtId="0" fontId="5" fillId="0" borderId="0" xfId="0" applyFont="1" applyAlignment="1">
      <alignment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5" fillId="0" borderId="1" xfId="0" applyFont="1" applyBorder="1" applyAlignment="1">
      <alignment vertical="center" wrapText="1"/>
    </xf>
    <xf numFmtId="0" fontId="1" fillId="0" borderId="1" xfId="0" applyFont="1" applyBorder="1" applyAlignment="1">
      <alignment vertical="center" wrapText="1"/>
    </xf>
    <xf numFmtId="0" fontId="10" fillId="2" borderId="0" xfId="0" applyFont="1" applyFill="1" applyAlignment="1">
      <alignment vertical="center" indent="1"/>
    </xf>
    <xf numFmtId="0" fontId="3" fillId="0" borderId="0" xfId="0" applyFont="1" applyAlignment="1">
      <alignment vertical="center" wrapText="1"/>
    </xf>
    <xf numFmtId="0" fontId="12" fillId="0" borderId="3" xfId="0" applyFont="1" applyBorder="1" applyAlignment="1">
      <alignment vertical="center" wrapText="1"/>
    </xf>
    <xf numFmtId="0" fontId="6" fillId="0" borderId="0" xfId="0" applyFont="1"/>
    <xf numFmtId="0" fontId="5" fillId="0" borderId="0" xfId="0" applyFont="1" applyAlignment="1">
      <alignment vertical="center" indent="1"/>
    </xf>
    <xf numFmtId="0" fontId="1" fillId="0" borderId="0" xfId="0" applyFont="1" applyAlignment="1">
      <alignment vertical="center" wrapText="1"/>
    </xf>
    <xf numFmtId="0" fontId="4" fillId="4" borderId="0" xfId="0" applyFont="1" applyFill="1" applyAlignment="1">
      <alignment vertical="center" indent="1"/>
    </xf>
    <xf numFmtId="0" fontId="6" fillId="5" borderId="0" xfId="0" applyFont="1" applyFill="1" applyAlignment="1">
      <alignment horizontal="center" vertical="center" wrapText="1"/>
    </xf>
    <xf numFmtId="0" fontId="6" fillId="5" borderId="0" xfId="0" applyFont="1" applyFill="1" applyAlignment="1">
      <alignment horizontal="center" vertical="center" wrapText="1"/>
    </xf>
    <xf numFmtId="0" fontId="7" fillId="6" borderId="0" xfId="0" applyFont="1" applyFill="1" applyAlignment="1">
      <alignment horizontal="center" vertical="center" wrapText="1"/>
    </xf>
    <xf numFmtId="164" fontId="19" fillId="6" borderId="0" xfId="0" applyNumberFormat="1" applyFont="1" applyFill="1" applyAlignment="1">
      <alignment horizontal="center" vertical="center"/>
    </xf>
    <xf numFmtId="9" fontId="19" fillId="6" borderId="0" xfId="0" applyNumberFormat="1" applyFont="1" applyFill="1" applyAlignment="1">
      <alignment horizontal="center" vertical="center"/>
    </xf>
    <xf numFmtId="165" fontId="19" fillId="6" borderId="0" xfId="0" applyNumberFormat="1" applyFont="1" applyFill="1" applyAlignment="1">
      <alignment horizontal="center" vertical="center"/>
    </xf>
    <xf numFmtId="0" fontId="6" fillId="5" borderId="2" xfId="0" applyFont="1" applyFill="1" applyBorder="1" applyAlignment="1">
      <alignment horizontal="center" vertical="center" wrapText="1"/>
    </xf>
    <xf numFmtId="0" fontId="11" fillId="7" borderId="2" xfId="0" applyFont="1" applyFill="1" applyBorder="1" applyAlignment="1">
      <alignment vertical="center" wrapText="1"/>
    </xf>
    <xf numFmtId="0" fontId="12" fillId="7" borderId="2" xfId="0" applyFont="1" applyFill="1" applyBorder="1" applyAlignment="1">
      <alignment vertical="center" wrapText="1"/>
    </xf>
    <xf numFmtId="3" fontId="12" fillId="7" borderId="2" xfId="0" applyNumberFormat="1" applyFont="1" applyFill="1" applyBorder="1" applyAlignment="1">
      <alignment vertical="center" wrapText="1"/>
    </xf>
    <xf numFmtId="9" fontId="12" fillId="7" borderId="2" xfId="0" applyNumberFormat="1" applyFont="1" applyFill="1" applyBorder="1" applyAlignment="1">
      <alignment vertical="center" wrapText="1"/>
    </xf>
    <xf numFmtId="166" fontId="5" fillId="7" borderId="2" xfId="0" applyNumberFormat="1" applyFont="1" applyFill="1" applyBorder="1" applyAlignment="1">
      <alignment horizontal="right" vertical="center"/>
    </xf>
    <xf numFmtId="164" fontId="5" fillId="7" borderId="2" xfId="0" applyNumberFormat="1" applyFont="1" applyFill="1" applyBorder="1" applyAlignment="1">
      <alignment horizontal="right" vertical="center"/>
    </xf>
    <xf numFmtId="0" fontId="6" fillId="5" borderId="2" xfId="0" applyFont="1" applyFill="1" applyBorder="1" applyAlignment="1">
      <alignment horizontal="center" vertical="center" wrapText="1"/>
    </xf>
    <xf numFmtId="164" fontId="5" fillId="8" borderId="2" xfId="0" applyNumberFormat="1" applyFont="1" applyFill="1" applyBorder="1" applyAlignment="1">
      <alignment horizontal="right" vertical="center"/>
    </xf>
    <xf numFmtId="10" fontId="5" fillId="8" borderId="2" xfId="0" applyNumberFormat="1" applyFont="1" applyFill="1" applyBorder="1" applyAlignment="1">
      <alignment horizontal="right" vertical="center"/>
    </xf>
    <xf numFmtId="167" fontId="5" fillId="8" borderId="2" xfId="0" applyNumberFormat="1" applyFont="1" applyFill="1" applyBorder="1" applyAlignment="1">
      <alignment horizontal="right" vertical="center"/>
    </xf>
    <xf numFmtId="1" fontId="5" fillId="8" borderId="2" xfId="0" applyNumberFormat="1" applyFont="1" applyFill="1" applyBorder="1" applyAlignment="1">
      <alignment horizontal="right" vertical="center"/>
    </xf>
    <xf numFmtId="9" fontId="12" fillId="8" borderId="2" xfId="0" applyNumberFormat="1" applyFont="1" applyFill="1" applyBorder="1" applyAlignment="1">
      <alignment vertical="center" wrapText="1"/>
    </xf>
    <xf numFmtId="0" fontId="0" fillId="9" borderId="0" xfId="0" applyFill="1"/>
    <xf numFmtId="0" fontId="0" fillId="10" borderId="0" xfId="0" applyFill="1"/>
    <xf numFmtId="0" fontId="21" fillId="9" borderId="4" xfId="0" applyFont="1" applyFill="1" applyBorder="1" applyAlignment="1">
      <alignment horizontal="center" vertical="center" wrapText="1"/>
    </xf>
    <xf numFmtId="0" fontId="22" fillId="10" borderId="4" xfId="0" applyFont="1" applyFill="1" applyBorder="1" applyAlignment="1">
      <alignment horizontal="center" vertical="center" wrapText="1"/>
    </xf>
    <xf numFmtId="0" fontId="21" fillId="11" borderId="4" xfId="0" applyFont="1" applyFill="1" applyBorder="1" applyAlignment="1">
      <alignment horizontal="center" vertical="center" wrapText="1"/>
    </xf>
    <xf numFmtId="0" fontId="0" fillId="11" borderId="0" xfId="0" applyFill="1"/>
    <xf numFmtId="0" fontId="23" fillId="12" borderId="4" xfId="0" applyFont="1" applyFill="1" applyBorder="1" applyAlignment="1">
      <alignment horizontal="center" vertical="center" wrapText="1"/>
    </xf>
    <xf numFmtId="0" fontId="0" fillId="12" borderId="0" xfId="0" applyFill="1"/>
    <xf numFmtId="0" fontId="21" fillId="13" borderId="4" xfId="0" applyFont="1" applyFill="1" applyBorder="1" applyAlignment="1">
      <alignment horizontal="center" vertical="center" wrapText="1"/>
    </xf>
    <xf numFmtId="0" fontId="0" fillId="13" borderId="0" xfId="0" applyFill="1"/>
    <xf numFmtId="0" fontId="15" fillId="13" borderId="2" xfId="0" applyFont="1" applyFill="1" applyBorder="1" applyAlignment="1">
      <alignment vertical="center" wrapText="1"/>
    </xf>
    <xf numFmtId="0" fontId="15" fillId="11" borderId="2" xfId="0" applyFont="1" applyFill="1" applyBorder="1" applyAlignment="1">
      <alignment vertical="center" wrapText="1"/>
    </xf>
    <xf numFmtId="0" fontId="25" fillId="10" borderId="2" xfId="0" applyFont="1" applyFill="1" applyBorder="1" applyAlignment="1">
      <alignment vertical="center" wrapText="1"/>
    </xf>
    <xf numFmtId="0" fontId="15" fillId="9" borderId="2" xfId="0" applyFont="1" applyFill="1" applyBorder="1" applyAlignment="1">
      <alignment vertical="center" wrapText="1"/>
    </xf>
    <xf numFmtId="0" fontId="14" fillId="12" borderId="2" xfId="0" applyFont="1" applyFill="1" applyBorder="1" applyAlignment="1">
      <alignment vertical="center" wrapText="1"/>
    </xf>
    <xf numFmtId="0" fontId="14" fillId="14" borderId="2" xfId="0" applyFont="1" applyFill="1" applyBorder="1" applyAlignment="1">
      <alignment vertical="center" wrapText="1"/>
    </xf>
    <xf numFmtId="0" fontId="24" fillId="14" borderId="4" xfId="0" applyFont="1" applyFill="1" applyBorder="1" applyAlignment="1">
      <alignment horizontal="center" vertical="center" wrapText="1"/>
    </xf>
    <xf numFmtId="0" fontId="0" fillId="14"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BFBFBF"/>
      <rgbColor rgb="FF7F7F7F"/>
      <rgbColor rgb="FF8E6BBF"/>
      <rgbColor rgb="FF993366"/>
      <rgbColor rgb="FFF9F9F9"/>
      <rgbColor rgb="FFEAF1F8"/>
      <rgbColor rgb="FF660066"/>
      <rgbColor rgb="FFE76F51"/>
      <rgbColor rgb="FF0563C1"/>
      <rgbColor rgb="FFD9D9D9"/>
      <rgbColor rgb="FF000080"/>
      <rgbColor rgb="FFFF00FF"/>
      <rgbColor rgb="FFFFFF00"/>
      <rgbColor rgb="FF00FFFF"/>
      <rgbColor rgb="FF800080"/>
      <rgbColor rgb="FF800000"/>
      <rgbColor rgb="FF008080"/>
      <rgbColor rgb="FF0000FF"/>
      <rgbColor rgb="FF00CCFF"/>
      <rgbColor rgb="FFF2F2F2"/>
      <rgbColor rgb="FFE2F0D9"/>
      <rgbColor rgb="FFD9E2EF"/>
      <rgbColor rgb="FFB0B7C3"/>
      <rgbColor rgb="FFFF99CC"/>
      <rgbColor rgb="FFCC99FF"/>
      <rgbColor rgb="FFE9C46A"/>
      <rgbColor rgb="FF3366FF"/>
      <rgbColor rgb="FF33CCCC"/>
      <rgbColor rgb="FF99CC00"/>
      <rgbColor rgb="FFFFCC00"/>
      <rgbColor rgb="FFF4A261"/>
      <rgbColor rgb="FFC55A11"/>
      <rgbColor rgb="FF595959"/>
      <rgbColor rgb="FF878787"/>
      <rgbColor rgb="FF1F3864"/>
      <rgbColor rgb="FF2A9D8F"/>
      <rgbColor rgb="FF003300"/>
      <rgbColor rgb="FF1F1F1F"/>
      <rgbColor rgb="FF993300"/>
      <rgbColor rgb="FF993366"/>
      <rgbColor rgb="FF333399"/>
      <rgbColor rgb="FF404040"/>
      <rgbColor rgb="00003366"/>
      <rgbColor rgb="00339966"/>
      <rgbColor rgb="00003300"/>
      <rgbColor rgb="00333300"/>
      <rgbColor rgb="00993300"/>
      <rgbColor rgb="00993366"/>
      <rgbColor rgb="00333399"/>
      <rgbColor rgb="00333333"/>
    </indexedColors>
    <mruColors>
      <color rgb="FFE6DED1"/>
      <color rgb="FFDCB07B"/>
      <color rgb="FFFEE1A7"/>
      <color rgb="FF6C5B51"/>
      <color rgb="FF957D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Taux d’engagement médian selon l’audience</a:t>
            </a:r>
          </a:p>
        </c:rich>
      </c:tx>
      <c:overlay val="0"/>
      <c:spPr>
        <a:noFill/>
        <a:ln w="0">
          <a:noFill/>
        </a:ln>
      </c:spPr>
    </c:title>
    <c:autoTitleDeleted val="0"/>
    <c:plotArea>
      <c:layout/>
      <c:barChart>
        <c:barDir val="col"/>
        <c:grouping val="clustered"/>
        <c:varyColors val="0"/>
        <c:ser>
          <c:idx val="0"/>
          <c:order val="0"/>
          <c:tx>
            <c:strRef>
              <c:f>Facteurs!$E$16</c:f>
              <c:strCache>
                <c:ptCount val="1"/>
                <c:pt idx="0">
                  <c:v>Taux d’engagement médian</c:v>
                </c:pt>
              </c:strCache>
            </c:strRef>
          </c:tx>
          <c:spPr>
            <a:solidFill>
              <a:srgbClr val="957D69"/>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fr-F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Facteurs!$A$17:$A$19</c:f>
              <c:strCache>
                <c:ptCount val="3"/>
                <c:pt idx="0">
                  <c:v>Moins de 1 M d’abonnés</c:v>
                </c:pt>
                <c:pt idx="1">
                  <c:v>1 à 5 M d’abonnés</c:v>
                </c:pt>
                <c:pt idx="2">
                  <c:v>Plus de 5 M d’abonnés</c:v>
                </c:pt>
              </c:strCache>
            </c:strRef>
          </c:cat>
          <c:val>
            <c:numRef>
              <c:f>Facteurs!$E$17:$E$19</c:f>
              <c:numCache>
                <c:formatCode>0.0%</c:formatCode>
                <c:ptCount val="3"/>
                <c:pt idx="0">
                  <c:v>0.19109257599043716</c:v>
                </c:pt>
                <c:pt idx="1">
                  <c:v>0.14329602220166512</c:v>
                </c:pt>
                <c:pt idx="2">
                  <c:v>0.15439209225700165</c:v>
                </c:pt>
              </c:numCache>
            </c:numRef>
          </c:val>
          <c:extLst>
            <c:ext xmlns:c16="http://schemas.microsoft.com/office/drawing/2014/chart" uri="{C3380CC4-5D6E-409C-BE32-E72D297353CC}">
              <c16:uniqueId val="{00000000-089A-394A-AF77-CF625F843C48}"/>
            </c:ext>
          </c:extLst>
        </c:ser>
        <c:dLbls>
          <c:showLegendKey val="0"/>
          <c:showVal val="0"/>
          <c:showCatName val="0"/>
          <c:showSerName val="0"/>
          <c:showPercent val="0"/>
          <c:showBubbleSize val="0"/>
        </c:dLbls>
        <c:gapWidth val="150"/>
        <c:axId val="95722864"/>
        <c:axId val="27878312"/>
      </c:barChart>
      <c:catAx>
        <c:axId val="9572286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7878312"/>
        <c:crosses val="autoZero"/>
        <c:auto val="1"/>
        <c:lblAlgn val="ctr"/>
        <c:lblOffset val="100"/>
        <c:noMultiLvlLbl val="0"/>
      </c:catAx>
      <c:valAx>
        <c:axId val="2787831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572286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Taux d’engagement médian par catégorie</a:t>
            </a:r>
          </a:p>
        </c:rich>
      </c:tx>
      <c:overlay val="0"/>
      <c:spPr>
        <a:noFill/>
        <a:ln w="0">
          <a:noFill/>
        </a:ln>
      </c:spPr>
    </c:title>
    <c:autoTitleDeleted val="0"/>
    <c:plotArea>
      <c:layout/>
      <c:barChart>
        <c:barDir val="bar"/>
        <c:grouping val="clustered"/>
        <c:varyColors val="0"/>
        <c:ser>
          <c:idx val="0"/>
          <c:order val="0"/>
          <c:tx>
            <c:strRef>
              <c:f>Catégories!$F$5</c:f>
              <c:strCache>
                <c:ptCount val="1"/>
                <c:pt idx="0">
                  <c:v>Taux d’engagement médian</c:v>
                </c:pt>
              </c:strCache>
            </c:strRef>
          </c:tx>
          <c:spPr>
            <a:solidFill>
              <a:srgbClr val="957D69"/>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fr-F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Catégories!$N$6:$N$11</c:f>
              <c:strCache>
                <c:ptCount val="6"/>
                <c:pt idx="0">
                  <c:v>Humour &amp; sketchs</c:v>
                </c:pt>
                <c:pt idx="1">
                  <c:v>Non classé</c:v>
                </c:pt>
                <c:pt idx="2">
                  <c:v>Animaux</c:v>
                </c:pt>
                <c:pt idx="3">
                  <c:v>Musique &amp; danse</c:v>
                </c:pt>
                <c:pt idx="4">
                  <c:v>Famille &amp; enfants</c:v>
                </c:pt>
                <c:pt idx="5">
                  <c:v>Food &amp; lifestyle</c:v>
                </c:pt>
              </c:strCache>
            </c:strRef>
          </c:cat>
          <c:val>
            <c:numRef>
              <c:f>Catégories!$O$6:$O$11</c:f>
              <c:numCache>
                <c:formatCode>0.0%</c:formatCode>
                <c:ptCount val="6"/>
                <c:pt idx="0">
                  <c:v>0.0786003572749194</c:v>
                </c:pt>
                <c:pt idx="1">
                  <c:v>0.098003125</c:v>
                </c:pt>
                <c:pt idx="2">
                  <c:v>0.101794303797468</c:v>
                </c:pt>
                <c:pt idx="3">
                  <c:v>0.113045217391304</c:v>
                </c:pt>
                <c:pt idx="4">
                  <c:v>0.134783484848485</c:v>
                </c:pt>
                <c:pt idx="5">
                  <c:v>0.161867469879518</c:v>
                </c:pt>
              </c:numCache>
            </c:numRef>
          </c:val>
          <c:extLst>
            <c:ext xmlns:c16="http://schemas.microsoft.com/office/drawing/2014/chart" uri="{C3380CC4-5D6E-409C-BE32-E72D297353CC}">
              <c16:uniqueId val="{00000000-7135-5A47-BE9E-DD6D3EE0D15A}"/>
            </c:ext>
          </c:extLst>
        </c:ser>
        <c:dLbls>
          <c:showLegendKey val="0"/>
          <c:showVal val="0"/>
          <c:showCatName val="0"/>
          <c:showSerName val="0"/>
          <c:showPercent val="0"/>
          <c:showBubbleSize val="0"/>
        </c:dLbls>
        <c:gapWidth val="150"/>
        <c:axId val="67903492"/>
        <c:axId val="13476703"/>
      </c:barChart>
      <c:catAx>
        <c:axId val="67903492"/>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3476703"/>
        <c:crosses val="autoZero"/>
        <c:auto val="1"/>
        <c:lblAlgn val="ctr"/>
        <c:lblOffset val="100"/>
        <c:noMultiLvlLbl val="0"/>
      </c:catAx>
      <c:valAx>
        <c:axId val="13476703"/>
        <c:scaling>
          <c:orientation val="minMax"/>
          <c:max val="0.18"/>
          <c:min val="0"/>
        </c:scaling>
        <c:delete val="0"/>
        <c:axPos val="b"/>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790349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Part des vues cumulées par catégorie</a:t>
            </a:r>
          </a:p>
        </c:rich>
      </c:tx>
      <c:overlay val="0"/>
      <c:spPr>
        <a:noFill/>
        <a:ln w="0">
          <a:noFill/>
        </a:ln>
      </c:spPr>
    </c:title>
    <c:autoTitleDeleted val="0"/>
    <c:plotArea>
      <c:layout/>
      <c:barChart>
        <c:barDir val="bar"/>
        <c:grouping val="clustered"/>
        <c:varyColors val="0"/>
        <c:ser>
          <c:idx val="0"/>
          <c:order val="0"/>
          <c:tx>
            <c:strRef>
              <c:f>Catégories!$E$5</c:f>
              <c:strCache>
                <c:ptCount val="1"/>
                <c:pt idx="0">
                  <c:v>Part des vues</c:v>
                </c:pt>
              </c:strCache>
            </c:strRef>
          </c:tx>
          <c:spPr>
            <a:solidFill>
              <a:srgbClr val="1F3864"/>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fr-F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Catégories!$P$6:$P$11</c:f>
              <c:strCache>
                <c:ptCount val="6"/>
                <c:pt idx="0">
                  <c:v>Musique &amp; danse</c:v>
                </c:pt>
                <c:pt idx="1">
                  <c:v>Food &amp; lifestyle</c:v>
                </c:pt>
                <c:pt idx="2">
                  <c:v>Animaux</c:v>
                </c:pt>
                <c:pt idx="3">
                  <c:v>Famille &amp; enfants</c:v>
                </c:pt>
                <c:pt idx="4">
                  <c:v>Humour &amp; sketchs</c:v>
                </c:pt>
                <c:pt idx="5">
                  <c:v>Non classé</c:v>
                </c:pt>
              </c:strCache>
            </c:strRef>
          </c:cat>
          <c:val>
            <c:numRef>
              <c:f>Catégories!$Q$6:$Q$11</c:f>
              <c:numCache>
                <c:formatCode>0%</c:formatCode>
                <c:ptCount val="6"/>
                <c:pt idx="0">
                  <c:v>0.0428053799306741</c:v>
                </c:pt>
                <c:pt idx="1">
                  <c:v>0.0527690697646872</c:v>
                </c:pt>
                <c:pt idx="2">
                  <c:v>0.0646533570300952</c:v>
                </c:pt>
                <c:pt idx="3">
                  <c:v>0.121659646256511</c:v>
                </c:pt>
                <c:pt idx="4">
                  <c:v>0.258473295023445</c:v>
                </c:pt>
                <c:pt idx="5">
                  <c:v>0.459639251994587</c:v>
                </c:pt>
              </c:numCache>
            </c:numRef>
          </c:val>
          <c:extLst>
            <c:ext xmlns:c16="http://schemas.microsoft.com/office/drawing/2014/chart" uri="{C3380CC4-5D6E-409C-BE32-E72D297353CC}">
              <c16:uniqueId val="{00000000-092F-2543-B948-F939FE816C29}"/>
            </c:ext>
          </c:extLst>
        </c:ser>
        <c:dLbls>
          <c:showLegendKey val="0"/>
          <c:showVal val="0"/>
          <c:showCatName val="0"/>
          <c:showSerName val="0"/>
          <c:showPercent val="0"/>
          <c:showBubbleSize val="0"/>
        </c:dLbls>
        <c:gapWidth val="150"/>
        <c:axId val="9672800"/>
        <c:axId val="57307542"/>
      </c:barChart>
      <c:catAx>
        <c:axId val="9672800"/>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7307542"/>
        <c:crosses val="autoZero"/>
        <c:auto val="1"/>
        <c:lblAlgn val="ctr"/>
        <c:lblOffset val="100"/>
        <c:noMultiLvlLbl val="0"/>
      </c:catAx>
      <c:valAx>
        <c:axId val="57307542"/>
        <c:scaling>
          <c:orientation val="minMax"/>
        </c:scaling>
        <c:delete val="0"/>
        <c:axPos val="b"/>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67280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30</xdr:row>
      <xdr:rowOff>67340</xdr:rowOff>
    </xdr:from>
    <xdr:to>
      <xdr:col>3</xdr:col>
      <xdr:colOff>685800</xdr:colOff>
      <xdr:row>50</xdr:row>
      <xdr:rowOff>63500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5</xdr:col>
      <xdr:colOff>480960</xdr:colOff>
      <xdr:row>28</xdr:row>
      <xdr:rowOff>32760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14</xdr:row>
      <xdr:rowOff>0</xdr:rowOff>
    </xdr:from>
    <xdr:to>
      <xdr:col>9</xdr:col>
      <xdr:colOff>903600</xdr:colOff>
      <xdr:row>28</xdr:row>
      <xdr:rowOff>32760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E44"/>
  <sheetViews>
    <sheetView showGridLines="0" tabSelected="1" zoomScaleNormal="100" workbookViewId="0">
      <selection activeCell="I9" sqref="I9"/>
    </sheetView>
  </sheetViews>
  <sheetFormatPr baseColWidth="10" defaultColWidth="8.6640625" defaultRowHeight="15"/>
  <cols>
    <col min="1" max="5" width="30" customWidth="1"/>
    <col min="6" max="6" width="2" customWidth="1"/>
  </cols>
  <sheetData>
    <row r="1" spans="1:5" ht="37.5" customHeight="1">
      <c r="A1" s="36" t="s">
        <v>0</v>
      </c>
      <c r="B1" s="36"/>
      <c r="C1" s="36"/>
      <c r="D1" s="36"/>
      <c r="E1" s="36"/>
    </row>
    <row r="2" spans="1:5">
      <c r="A2" s="37"/>
      <c r="B2" s="37"/>
      <c r="C2" s="37"/>
      <c r="D2" s="37"/>
      <c r="E2" s="37"/>
    </row>
    <row r="4" spans="1:5" ht="21.75" customHeight="1">
      <c r="A4" s="49" t="s">
        <v>1</v>
      </c>
      <c r="B4" s="49"/>
      <c r="C4" s="49"/>
      <c r="D4" s="49"/>
      <c r="E4" s="49"/>
    </row>
    <row r="5" spans="1:5" ht="33.75" customHeight="1">
      <c r="A5" s="38" t="s">
        <v>2</v>
      </c>
      <c r="B5" s="38"/>
      <c r="C5" s="38"/>
      <c r="D5" s="38"/>
      <c r="E5" s="38"/>
    </row>
    <row r="6" spans="1:5" ht="19.5" customHeight="1">
      <c r="A6" s="39" t="str">
        <f>"Preuve : sur "&amp;SUM(Succès!C17:C20)&amp;" vidéos en tendance, seules "&amp;Succès!C17&amp;" cumulent les deux ; "&amp;Succès!C19&amp;" ont de la portée sans engagement et "&amp;Succès!C18&amp;" l’inverse."</f>
        <v>Preuve : sur 100 vidéos en tendance, seules 30 cumulent les deux ; 20 ont de la portée sans engagement et 20 l’inverse.</v>
      </c>
      <c r="B6" s="39"/>
      <c r="C6" s="39"/>
      <c r="D6" s="39"/>
      <c r="E6" s="39"/>
    </row>
    <row r="8" spans="1:5" ht="39.75" customHeight="1">
      <c r="A8" s="53">
        <f>Succès!E10</f>
        <v>0.10677180525585697</v>
      </c>
      <c r="B8" s="54">
        <f>Succès!D17</f>
        <v>0.3</v>
      </c>
      <c r="C8" s="55">
        <f>Facteurs!D6</f>
        <v>1.8961265063001085</v>
      </c>
      <c r="D8" s="55">
        <f>Succès!E10/Succès!E12</f>
        <v>1.5954914187121951</v>
      </c>
      <c r="E8" s="53">
        <f>Facteurs!E17</f>
        <v>0.19109257599043716</v>
      </c>
    </row>
    <row r="9" spans="1:5" ht="57" customHeight="1">
      <c r="A9" s="52" t="s">
        <v>974</v>
      </c>
      <c r="B9" s="52" t="s">
        <v>973</v>
      </c>
      <c r="C9" s="52" t="s">
        <v>972</v>
      </c>
      <c r="D9" s="52" t="s">
        <v>971</v>
      </c>
      <c r="E9" s="52" t="s">
        <v>970</v>
      </c>
    </row>
    <row r="11" spans="1:5" ht="21.75" customHeight="1">
      <c r="A11" s="49" t="s">
        <v>3</v>
      </c>
      <c r="B11" s="49"/>
      <c r="C11" s="49"/>
      <c r="D11" s="49"/>
      <c r="E11" s="49"/>
    </row>
    <row r="12" spans="1:5" ht="15" customHeight="1">
      <c r="A12" s="50" t="s">
        <v>4</v>
      </c>
      <c r="B12" s="51" t="s">
        <v>5</v>
      </c>
      <c r="C12" s="51"/>
      <c r="D12" s="51" t="s">
        <v>6</v>
      </c>
      <c r="E12" s="51"/>
    </row>
    <row r="13" spans="1:5" ht="33.75" customHeight="1">
      <c r="A13" s="1" t="s">
        <v>7</v>
      </c>
      <c r="B13" s="40" t="str">
        <f>"J’aime ÷ vues : "&amp;ROUND(Facteurs!B6*100,1)&amp;" % pour les succès contre "&amp;ROUND(Facteurs!C6*100,1)&amp;" % (× "&amp;ROUND(Facteurs!D6,1)&amp;")"</f>
        <v>J’aime ÷ vues : 14,6 % pour les succès contre 7,7 % (× 1,9)</v>
      </c>
      <c r="C13" s="40"/>
      <c r="D13" s="41" t="s">
        <v>8</v>
      </c>
      <c r="E13" s="41"/>
    </row>
    <row r="14" spans="1:5" ht="33.75" customHeight="1">
      <c r="A14" s="1" t="s">
        <v>9</v>
      </c>
      <c r="B14" s="40" t="str">
        <f>"Durée "&amp;ROUND(Facteurs!B9,0)&amp;" s vs "&amp;ROUND(Facteurs!C9,0)&amp;" s ; hashtags "&amp;ROUND(Facteurs!B10,0)&amp;" vs "&amp;ROUND(Facteurs!C10,0)&amp;" ; légende "&amp;ROUND(Facteurs!B11,0)&amp;" vs "&amp;ROUND(Facteurs!C11,0)&amp;" car."</f>
        <v>Durée 12 s vs 11 s ; hashtags 3 vs 3 ; légende 49 vs 46 car.</v>
      </c>
      <c r="C14" s="40"/>
      <c r="D14" s="41" t="s">
        <v>10</v>
      </c>
      <c r="E14" s="41"/>
    </row>
    <row r="15" spans="1:5" ht="33.75" customHeight="1">
      <c r="A15" s="1" t="s">
        <v>11</v>
      </c>
      <c r="B15" s="40" t="str">
        <f>"Présents dans "&amp;ROUND(Facteurs!B12*100,0)&amp;" % des succès contre "&amp;ROUND(Facteurs!C12*100,0)&amp;" % des autres"</f>
        <v>Présents dans 27 % des succès contre 49 % des autres</v>
      </c>
      <c r="C15" s="40"/>
      <c r="D15" s="41" t="s">
        <v>12</v>
      </c>
      <c r="E15" s="41"/>
    </row>
    <row r="16" spans="1:5" ht="33.75" customHeight="1">
      <c r="A16" s="1" t="s">
        <v>13</v>
      </c>
      <c r="B16" s="40" t="str">
        <f>"Engagement médian : food "&amp;ROUND(Catégories!F9*100,1)&amp;" % · famille "&amp;ROUND(Catégories!F8*100,1)&amp;" % · humour "&amp;ROUND(Catégories!F6*100,1)&amp;" %"</f>
        <v>Engagement médian : food 16,2 % · famille 13,5 % · humour 7,9 %</v>
      </c>
      <c r="C16" s="40"/>
      <c r="D16" s="41" t="s">
        <v>14</v>
      </c>
      <c r="E16" s="41"/>
    </row>
    <row r="17" spans="1:5" ht="33.75" customHeight="1">
      <c r="A17" s="1" t="s">
        <v>15</v>
      </c>
      <c r="B17" s="40" t="str">
        <f>"&lt; 1 M abonnés : "&amp;ROUND(Facteurs!E17*100,1)&amp;" % ; &gt; 5 M : "&amp;ROUND(Facteurs!E19*100,1)&amp;" % ; vues par abonné "&amp;ROUND(Facteurs!G17,0)&amp;" vs "&amp;ROUND(Facteurs!G19,0)</f>
        <v>&lt; 1 M abonnés : 19,1 % ; &gt; 5 M : 15,4 % ; vues par abonné 112 vs 6</v>
      </c>
      <c r="C17" s="40"/>
      <c r="D17" s="42" t="s">
        <v>969</v>
      </c>
      <c r="E17" s="41"/>
    </row>
    <row r="18" spans="1:5" ht="33.75" customHeight="1">
      <c r="A18" s="1" t="s">
        <v>16</v>
      </c>
      <c r="B18" s="40" t="str">
        <f>"Créateurs "&amp;ROUND(Succès!E10*100,1)&amp;" % vs compte officiel "&amp;ROUND(Succès!E12*100,1)&amp;" %"</f>
        <v>Créateurs 10,7 % vs compte officiel 6,7 %</v>
      </c>
      <c r="C18" s="40"/>
      <c r="D18" s="41" t="s">
        <v>17</v>
      </c>
      <c r="E18" s="41"/>
    </row>
    <row r="20" spans="1:5" ht="21.75" customHeight="1">
      <c r="A20" s="49" t="s">
        <v>18</v>
      </c>
      <c r="B20" s="49"/>
      <c r="C20" s="49"/>
      <c r="D20" s="49"/>
      <c r="E20" s="49"/>
    </row>
    <row r="21" spans="1:5" ht="19.5" customHeight="1">
      <c r="A21" s="38" t="str">
        <f>"Humour : "&amp;ROUND(Catégories!E6*100,0)&amp;" % des vues, mais engagement médian de "&amp;ROUND(Catégories!F6*100,1)&amp;" % (le plus bas). Domine par la portée."</f>
        <v>Humour : 26 % des vues, mais engagement médian de 7,9 % (le plus bas). Domine par la portée.</v>
      </c>
      <c r="B21" s="38"/>
      <c r="C21" s="38"/>
      <c r="D21" s="38"/>
      <c r="E21" s="38"/>
    </row>
    <row r="22" spans="1:5" ht="19.5" customHeight="1">
      <c r="A22" s="38" t="str">
        <f>"Food &amp; lifestyle : engagement médian "&amp;ROUND(Catégories!F9*100,1)&amp;" %, "&amp;ROUND(Catégories!G9*100,0)&amp;" % de vidéos en succès complet (7 vidéos, dominées par un seul créateur). Famille &amp; enfants : "&amp;ROUND(Catégories!F8*100,1)&amp;" % avec une portée élevée."</f>
        <v>Food &amp; lifestyle : engagement médian 16,2 %, 71 % de vidéos en succès complet (7 vidéos, dominées par un seul créateur). Famille &amp; enfants : 13,5 % avec une portée élevée.</v>
      </c>
      <c r="B22" s="38"/>
      <c r="C22" s="38"/>
      <c r="D22" s="38"/>
      <c r="E22" s="38"/>
    </row>
    <row r="23" spans="1:5" ht="19.5" customHeight="1">
      <c r="A23" s="38" t="str">
        <f>"Non classé : "&amp;ROUND(Catégories!E11*100,0)&amp;" % des vues, thème inconnu (légende vide ou sans mot-clé) : limite de la classification, voir onglet Catégories."</f>
        <v>Non classé : 46 % des vues, thème inconnu (légende vide ou sans mot-clé) : limite de la classification, voir onglet Catégories.</v>
      </c>
      <c r="B23" s="38"/>
      <c r="C23" s="38"/>
      <c r="D23" s="38"/>
      <c r="E23" s="38"/>
    </row>
    <row r="25" spans="1:5" ht="21.75" customHeight="1">
      <c r="A25" s="49" t="s">
        <v>19</v>
      </c>
      <c r="B25" s="49"/>
      <c r="C25" s="49"/>
      <c r="D25" s="49"/>
      <c r="E25" s="49"/>
    </row>
    <row r="26" spans="1:5" ht="28">
      <c r="A26" s="50" t="s">
        <v>20</v>
      </c>
      <c r="B26" s="50" t="s">
        <v>21</v>
      </c>
      <c r="C26" s="50" t="s">
        <v>22</v>
      </c>
      <c r="D26" s="50" t="s">
        <v>23</v>
      </c>
      <c r="E26" s="50" t="s">
        <v>24</v>
      </c>
    </row>
    <row r="27" spans="1:5">
      <c r="A27" s="2" t="str">
        <f>Contacts!B10</f>
        <v>@bts_official_bighit</v>
      </c>
      <c r="B27" s="3" t="s">
        <v>25</v>
      </c>
      <c r="C27" s="4">
        <f>Contacts!F10</f>
        <v>0.36091760299625469</v>
      </c>
      <c r="D27" s="5">
        <f>Contacts!E10</f>
        <v>26700000</v>
      </c>
      <c r="E27" s="6" t="str">
        <f>Contacts!C10</f>
        <v>Musique &amp; danse</v>
      </c>
    </row>
    <row r="28" spans="1:5">
      <c r="A28" s="2" t="str">
        <f>Contacts!B11</f>
        <v>TND-010</v>
      </c>
      <c r="B28" s="3" t="s">
        <v>25</v>
      </c>
      <c r="C28" s="4">
        <f>Contacts!F11</f>
        <v>0.2506576454668471</v>
      </c>
      <c r="D28" s="5">
        <f>Contacts!E11</f>
        <v>73900000</v>
      </c>
      <c r="E28" s="6" t="str">
        <f>Contacts!C11</f>
        <v>Food &amp; lifestyle</v>
      </c>
    </row>
    <row r="29" spans="1:5">
      <c r="A29" s="2" t="str">
        <f>Contacts!B12</f>
        <v>TND-039</v>
      </c>
      <c r="B29" s="3" t="s">
        <v>25</v>
      </c>
      <c r="C29" s="4">
        <f>Contacts!F12</f>
        <v>0.23800709219858157</v>
      </c>
      <c r="D29" s="5">
        <f>Contacts!E12</f>
        <v>14100000</v>
      </c>
      <c r="E29" s="6" t="str">
        <f>Contacts!C12</f>
        <v>Non classé</v>
      </c>
    </row>
    <row r="30" spans="1:5">
      <c r="A30" s="2" t="str">
        <f>Contacts!B24</f>
        <v>HSH-042</v>
      </c>
      <c r="B30" s="3" t="s">
        <v>26</v>
      </c>
      <c r="C30" s="4">
        <f>Contacts!F24</f>
        <v>0.29521527777777778</v>
      </c>
      <c r="D30" s="5">
        <f>Contacts!E24</f>
        <v>28800000</v>
      </c>
      <c r="E30" s="6">
        <f>Contacts!C24</f>
        <v>499800</v>
      </c>
    </row>
    <row r="31" spans="1:5">
      <c r="A31" s="2" t="str">
        <f>Contacts!B25</f>
        <v>HSH-077</v>
      </c>
      <c r="B31" s="3" t="s">
        <v>26</v>
      </c>
      <c r="C31" s="4">
        <f>Contacts!F25</f>
        <v>0.25846209386281588</v>
      </c>
      <c r="D31" s="5">
        <f>Contacts!E25</f>
        <v>27700000</v>
      </c>
      <c r="E31" s="6">
        <f>Contacts!C25</f>
        <v>958100</v>
      </c>
    </row>
    <row r="32" spans="1:5">
      <c r="A32" s="2" t="str">
        <f>Contacts!B26</f>
        <v>HSH-013</v>
      </c>
      <c r="B32" s="3" t="s">
        <v>26</v>
      </c>
      <c r="C32" s="4">
        <f>Contacts!F26</f>
        <v>0.25637093275488071</v>
      </c>
      <c r="D32" s="5">
        <f>Contacts!E26</f>
        <v>46100000</v>
      </c>
      <c r="E32" s="6">
        <f>Contacts!C26</f>
        <v>144200</v>
      </c>
    </row>
    <row r="34" spans="1:5" ht="21.75" customHeight="1">
      <c r="A34" s="49" t="s">
        <v>27</v>
      </c>
      <c r="B34" s="49"/>
      <c r="C34" s="49"/>
      <c r="D34" s="49"/>
      <c r="E34" s="49"/>
    </row>
    <row r="35" spans="1:5" ht="18" customHeight="1">
      <c r="A35" s="38" t="s">
        <v>28</v>
      </c>
      <c r="B35" s="38"/>
      <c r="C35" s="38"/>
      <c r="D35" s="38"/>
      <c r="E35" s="38"/>
    </row>
    <row r="36" spans="1:5" ht="18" customHeight="1">
      <c r="A36" s="38" t="s">
        <v>29</v>
      </c>
      <c r="B36" s="38"/>
      <c r="C36" s="38"/>
      <c r="D36" s="38"/>
      <c r="E36" s="38"/>
    </row>
    <row r="37" spans="1:5" ht="18" customHeight="1">
      <c r="A37" s="38" t="s">
        <v>30</v>
      </c>
      <c r="B37" s="38"/>
      <c r="C37" s="38"/>
      <c r="D37" s="38"/>
      <c r="E37" s="38"/>
    </row>
    <row r="39" spans="1:5" ht="21.75" customHeight="1">
      <c r="A39" s="49" t="inlineStr">
        <is>
          <t>6 · RECOMMANDATION FINALE : QUI CONTACTER ?</t>
        </is>
      </c>
      <c r="B39" s="49"/>
      <c r="C39" s="49"/>
      <c r="D39" s="49"/>
      <c r="E39" s="49"/>
    </row>
    <row r="40" spans="1:5" ht="19.5" customHeight="1">
      <c r="A40" s="38" t="inlineStr">
        <is>
          <t xml:space="preserve">Pour conclure, je réponds à la question de départ : qui contacter ?</t>
        </is>
      </c>
      <c r="B40" s="38"/>
      <c r="C40" s="38"/>
      <c r="D40" s="38"/>
      <c r="E40" s="38"/>
    </row>
    <row r="41" spans="1:5" ht="33.75" customHeight="1">
      <c r="A41" s="38" t="str">
        <f>"Si je ne devais en choisir qu’un, ce serait "&amp;Contacts!B11&amp;" : "&amp;ROUND(Contacts!F11*100,0)&amp;" % d’engagement, "&amp;ROUND(Contacts!E11/1000000,0)&amp;" millions de vues et "&amp;Contacts!D11&amp;" vidéos en tendance, la régularité la plus forte de ma liste."</f>
        <v>Si je ne devais en choisir qu’un, ce serait TND-010 : 25 % d’engagement, 74 millions de vues et 3 vidéos en tendance, la régularité la plus forte de ma liste.</v>
      </c>
      <c r="B41" s="38"/>
      <c r="C41" s="38"/>
      <c r="D41" s="38"/>
      <c r="E41" s="38"/>
    </row>
    <row r="42" spans="1:5" ht="19.5" customHeight="1">
      <c r="A42" s="38" t="inlineStr">
        <is>
          <t xml:space="preserve">BTS engage davantage, mais c’est probablement une organisation, donc un partenariat différent.</t>
        </is>
      </c>
      <c r="B42" s="38"/>
      <c r="C42" s="38"/>
      <c r="D42" s="38"/>
      <c r="E42" s="38"/>
    </row>
    <row r="43" spans="1:5" ht="19.5" customHeight="1">
      <c r="A43" s="38" t="str">
        <f>"Et si le client préfère un petit compte, "&amp;Contacts!B26&amp;" : "&amp;TEXT(Contacts!C26,"# ##0")&amp;" abonnés pour "&amp;ROUND(Contacts!E26/1000000,0)&amp;" millions de vues."</f>
        <v>Et si le client préfère un petit compte, HSH-013 : 144 200 abonnés pour 46 millions de vues.</v>
      </c>
      <c r="B43" s="38"/>
      <c r="C43" s="38"/>
      <c r="D43" s="38"/>
      <c r="E43" s="38"/>
    </row>
    <row r="44" spans="1:5" ht="33.75" customHeight="1">
      <c r="A44" s="38" t="inlineStr">
        <is>
          <t xml:space="preserve">Ce choix repose sur trois enseignements : la performance vient de la réaction du public, pas des réglages ; les niches engagent mieux que la portée brute ; l’audience n’achète pas l’engagement.</t>
        </is>
      </c>
      <c r="B44" s="38"/>
      <c r="C44" s="38"/>
      <c r="D44" s="38"/>
      <c r="E44" s="38"/>
    </row>
  </sheetData>
  <mergeCells count="35">
    <mergeCell ref="A39:E39"/>
    <mergeCell ref="A40:E40"/>
    <mergeCell ref="A41:E41"/>
    <mergeCell ref="A42:E42"/>
    <mergeCell ref="A43:E43"/>
    <mergeCell ref="A44:E44"/>
    <mergeCell ref="A35:E35"/>
    <mergeCell ref="A36:E36"/>
    <mergeCell ref="A37:E37"/>
    <mergeCell ref="A21:E21"/>
    <mergeCell ref="A22:E22"/>
    <mergeCell ref="A23:E23"/>
    <mergeCell ref="A25:E25"/>
    <mergeCell ref="A34:E34"/>
    <mergeCell ref="B17:C17"/>
    <mergeCell ref="D17:E17"/>
    <mergeCell ref="B18:C18"/>
    <mergeCell ref="D18:E18"/>
    <mergeCell ref="A20:E20"/>
    <mergeCell ref="B14:C14"/>
    <mergeCell ref="D14:E14"/>
    <mergeCell ref="B15:C15"/>
    <mergeCell ref="D15:E15"/>
    <mergeCell ref="B16:C16"/>
    <mergeCell ref="D16:E16"/>
    <mergeCell ref="A11:E11"/>
    <mergeCell ref="B12:C12"/>
    <mergeCell ref="D12:E12"/>
    <mergeCell ref="B13:C13"/>
    <mergeCell ref="D13:E13"/>
    <mergeCell ref="A1:E1"/>
    <mergeCell ref="A2:E2"/>
    <mergeCell ref="A4:E4"/>
    <mergeCell ref="A5:E5"/>
    <mergeCell ref="A6:E6"/>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57D69"/>
    <pageSetUpPr fitToPage="1"/>
  </sheetPr>
  <dimension ref="A1:G23"/>
  <sheetViews>
    <sheetView showGridLines="0" zoomScaleNormal="100" workbookViewId="0">
      <selection activeCell="B29" sqref="B29"/>
    </sheetView>
  </sheetViews>
  <sheetFormatPr baseColWidth="10" defaultColWidth="8.6640625" defaultRowHeight="15"/>
  <cols>
    <col min="1" max="1" width="26" customWidth="1"/>
    <col min="2" max="2" width="44" customWidth="1"/>
    <col min="3" max="3" width="12" customWidth="1"/>
    <col min="4" max="4" width="14" customWidth="1"/>
    <col min="5" max="5" width="16" customWidth="1"/>
    <col min="6" max="6" width="18" customWidth="1"/>
    <col min="7" max="7" width="48" customWidth="1"/>
  </cols>
  <sheetData>
    <row r="1" spans="1:7" ht="31.5" customHeight="1">
      <c r="A1" s="43" t="s">
        <v>31</v>
      </c>
      <c r="B1" s="43"/>
      <c r="C1" s="43"/>
      <c r="D1" s="43"/>
      <c r="E1" s="43"/>
      <c r="F1" s="43"/>
      <c r="G1" s="43"/>
    </row>
    <row r="2" spans="1:7" ht="27.75" customHeight="1">
      <c r="A2" s="44"/>
      <c r="B2" s="44"/>
      <c r="C2" s="44"/>
      <c r="D2" s="44"/>
      <c r="E2" s="44"/>
      <c r="F2" s="44"/>
      <c r="G2" s="44"/>
    </row>
    <row r="3" spans="1:7" ht="21.75" customHeight="1">
      <c r="A3" s="49" t="s">
        <v>32</v>
      </c>
      <c r="B3" s="49"/>
      <c r="C3" s="49"/>
      <c r="D3" s="49"/>
      <c r="E3" s="49"/>
      <c r="F3" s="49"/>
      <c r="G3" s="49"/>
    </row>
    <row r="4" spans="1:7" ht="30" customHeight="1">
      <c r="A4" s="48" t="s">
        <v>977</v>
      </c>
      <c r="B4" s="38"/>
      <c r="C4" s="38"/>
      <c r="D4" s="38"/>
      <c r="E4" s="38"/>
      <c r="F4" s="38"/>
      <c r="G4" s="38"/>
    </row>
    <row r="5" spans="1:7" ht="43.5" customHeight="1">
      <c r="A5" s="38" t="s">
        <v>33</v>
      </c>
      <c r="B5" s="38"/>
      <c r="C5" s="38"/>
      <c r="D5" s="38"/>
      <c r="E5" s="38"/>
      <c r="F5" s="38"/>
      <c r="G5" s="38"/>
    </row>
    <row r="6" spans="1:7" ht="30" customHeight="1">
      <c r="A6" s="48" t="s">
        <v>978</v>
      </c>
      <c r="B6" s="38"/>
      <c r="C6" s="38"/>
      <c r="D6" s="38"/>
      <c r="E6" s="38"/>
      <c r="F6" s="38"/>
      <c r="G6" s="38"/>
    </row>
    <row r="8" spans="1:7" ht="21.75" customHeight="1">
      <c r="A8" s="49" t="s">
        <v>34</v>
      </c>
      <c r="B8" s="49"/>
      <c r="C8" s="49"/>
      <c r="D8" s="49"/>
      <c r="E8" s="49"/>
      <c r="F8" s="49"/>
      <c r="G8" s="49"/>
    </row>
    <row r="9" spans="1:7" ht="43" customHeight="1">
      <c r="A9" s="56" t="s">
        <v>21</v>
      </c>
      <c r="B9" s="56" t="s">
        <v>35</v>
      </c>
      <c r="C9" s="56" t="s">
        <v>36</v>
      </c>
      <c r="D9" s="56" t="s">
        <v>37</v>
      </c>
      <c r="E9" s="56" t="s">
        <v>38</v>
      </c>
      <c r="F9" s="56" t="s">
        <v>39</v>
      </c>
      <c r="G9" s="56" t="s">
        <v>40</v>
      </c>
    </row>
    <row r="10" spans="1:7">
      <c r="A10" s="9" t="s">
        <v>25</v>
      </c>
      <c r="B10" s="10" t="s">
        <v>41</v>
      </c>
      <c r="C10" s="11">
        <f>COUNT(Données!$L$2:$L$101)</f>
        <v>100</v>
      </c>
      <c r="D10" s="12">
        <f>MEDIAN(Données!$L$2:$L$101)</f>
        <v>10400000</v>
      </c>
      <c r="E10" s="13">
        <f>MEDIAN(Données!$P$2:$P$101)</f>
        <v>0.10677180525585697</v>
      </c>
      <c r="F10" s="13">
        <f>SUM(Données!$M$2:$M$101)/(SUM(Données!$M$2:$M$101)+SUM(Données!$N$2:$N$101)+SUM(Données!$O$2:$O$101))</f>
        <v>0.94364941729638141</v>
      </c>
      <c r="G10" s="10" t="s">
        <v>42</v>
      </c>
    </row>
    <row r="11" spans="1:7">
      <c r="A11" s="9" t="s">
        <v>43</v>
      </c>
      <c r="B11" s="10" t="s">
        <v>44</v>
      </c>
      <c r="C11" s="11">
        <f>COUNT(Données!$L$102:$L$201)</f>
        <v>100</v>
      </c>
      <c r="D11" s="12">
        <f>MEDIAN(Données!$L$102:$L$201)</f>
        <v>5700000</v>
      </c>
      <c r="E11" s="13">
        <f>MEDIAN(Données!$P$102:$P$201)</f>
        <v>0.18322881510459835</v>
      </c>
      <c r="F11" s="13">
        <f>SUM(Données!$M$102:$M$201)/(SUM(Données!$M$102:$M$201)+SUM(Données!$N$102:$N$201)+SUM(Données!$O$102:$O$201))</f>
        <v>0.96235483073815875</v>
      </c>
      <c r="G11" s="10" t="s">
        <v>45</v>
      </c>
    </row>
    <row r="12" spans="1:7">
      <c r="A12" s="9" t="s">
        <v>46</v>
      </c>
      <c r="B12" s="10" t="s">
        <v>47</v>
      </c>
      <c r="C12" s="11">
        <f>COUNT(Données!$L$202:$L$301)</f>
        <v>100</v>
      </c>
      <c r="D12" s="12">
        <f>MEDIAN(Données!$L$202:$L$301)</f>
        <v>3250000</v>
      </c>
      <c r="E12" s="13">
        <f>MEDIAN(Données!$P$202:$P$301)</f>
        <v>6.6920952380952387E-2</v>
      </c>
      <c r="F12" s="13">
        <f>SUM(Données!$M$202:$M$301)/(SUM(Données!$M$202:$M$301)+SUM(Données!$N$202:$N$301)+SUM(Données!$O$202:$O$301))</f>
        <v>0.92175917780996286</v>
      </c>
      <c r="G12" s="10" t="s">
        <v>48</v>
      </c>
    </row>
    <row r="13" spans="1:7">
      <c r="A13" s="9" t="s">
        <v>49</v>
      </c>
      <c r="B13" s="10" t="s">
        <v>50</v>
      </c>
      <c r="C13" s="11">
        <f>COUNT(Données!$L$302:$L$401)</f>
        <v>100</v>
      </c>
      <c r="D13" s="12">
        <f>MEDIAN(Données!$L$302:$L$401)</f>
        <v>53650000</v>
      </c>
      <c r="E13" s="13">
        <f>MEDIAN(Données!$P$302:$P$401)</f>
        <v>0.16348722051878875</v>
      </c>
      <c r="F13" s="13">
        <f>SUM(Données!$M$302:$M$401)/(SUM(Données!$M$302:$M$401)+SUM(Données!$N$302:$N$401)+SUM(Données!$O$302:$O$401))</f>
        <v>0.96037227301439254</v>
      </c>
      <c r="G13" s="10" t="s">
        <v>51</v>
      </c>
    </row>
    <row r="15" spans="1:7" ht="21.75" customHeight="1">
      <c r="A15" s="49" t="s">
        <v>52</v>
      </c>
      <c r="B15" s="49"/>
      <c r="C15" s="49"/>
      <c r="D15" s="49"/>
      <c r="E15" s="49"/>
      <c r="F15" s="49"/>
      <c r="G15" s="49"/>
    </row>
    <row r="16" spans="1:7" ht="31.5" customHeight="1">
      <c r="A16" s="56" t="s">
        <v>53</v>
      </c>
      <c r="B16" s="56" t="s">
        <v>54</v>
      </c>
      <c r="C16" s="56" t="s">
        <v>36</v>
      </c>
      <c r="D16" s="56" t="s">
        <v>55</v>
      </c>
      <c r="E16" s="56" t="s">
        <v>37</v>
      </c>
      <c r="F16" s="56" t="s">
        <v>38</v>
      </c>
      <c r="G16" s="56" t="s">
        <v>56</v>
      </c>
    </row>
    <row r="17" spans="1:7">
      <c r="A17" s="57" t="s">
        <v>57</v>
      </c>
      <c r="B17" s="58" t="s">
        <v>58</v>
      </c>
      <c r="C17" s="59">
        <f>COUNTIF(Données!$S$2:$S$101,A17)</f>
        <v>30</v>
      </c>
      <c r="D17" s="60">
        <f>C17/SUM($C$17:$C$20)</f>
        <v>0.3</v>
      </c>
      <c r="E17" s="61">
        <f t="array" ref="E17">MEDIAN(IF(Données!$S$2:$S$101=A17,Données!$L$2:$L$101))</f>
        <v>25600000</v>
      </c>
      <c r="F17" s="62">
        <f t="array" ref="F17">MEDIAN(IF(Données!$S$2:$S$101=A17,Données!$P$2:$P$101))</f>
        <v>0.15584565668213479</v>
      </c>
      <c r="G17" s="60">
        <f>SUMIF(Données!$S$2:$S$101,A17,Données!$L$2:$L$101)/SUM(Données!$L$2:$L$101)</f>
        <v>0.58370972632737406</v>
      </c>
    </row>
    <row r="18" spans="1:7">
      <c r="A18" s="9" t="s">
        <v>59</v>
      </c>
      <c r="B18" s="10" t="s">
        <v>60</v>
      </c>
      <c r="C18" s="11">
        <f>COUNTIF(Données!$S$2:$S$101,A18)</f>
        <v>20</v>
      </c>
      <c r="D18" s="14">
        <f>C18/SUM($C$17:$C$20)</f>
        <v>0.2</v>
      </c>
      <c r="E18" s="15">
        <f t="array" ref="E18">MEDIAN(IF(Données!$S$2:$S$101=A18,Données!$L$2:$L$101))</f>
        <v>3850000</v>
      </c>
      <c r="F18" s="16">
        <f t="array" ref="F18">MEDIAN(IF(Données!$S$2:$S$101=A18,Données!$P$2:$P$101))</f>
        <v>0.15772827651515151</v>
      </c>
      <c r="G18" s="14">
        <f>SUMIF(Données!$S$2:$S$101,A18,Données!$L$2:$L$101)/SUM(Données!$L$2:$L$101)</f>
        <v>3.8965211370699679E-2</v>
      </c>
    </row>
    <row r="19" spans="1:7">
      <c r="A19" s="9" t="s">
        <v>61</v>
      </c>
      <c r="B19" s="10" t="s">
        <v>62</v>
      </c>
      <c r="C19" s="11">
        <f>COUNTIF(Données!$S$2:$S$101,A19)</f>
        <v>20</v>
      </c>
      <c r="D19" s="14">
        <f>C19/SUM($C$17:$C$20)</f>
        <v>0.2</v>
      </c>
      <c r="E19" s="15">
        <f t="array" ref="E19">MEDIAN(IF(Données!$S$2:$S$101=A19,Données!$L$2:$L$101))</f>
        <v>29250000</v>
      </c>
      <c r="F19" s="16">
        <f t="array" ref="F19">MEDIAN(IF(Données!$S$2:$S$101=A19,Données!$P$2:$P$101))</f>
        <v>7.6537952022914427E-2</v>
      </c>
      <c r="G19" s="14">
        <f>SUMIF(Données!$S$2:$S$101,A19,Données!$L$2:$L$101)/SUM(Données!$L$2:$L$101)</f>
        <v>0.33085437015347202</v>
      </c>
    </row>
    <row r="20" spans="1:7">
      <c r="A20" s="9" t="s">
        <v>63</v>
      </c>
      <c r="B20" s="10" t="s">
        <v>64</v>
      </c>
      <c r="C20" s="11">
        <f>COUNTIF(Données!$S$2:$S$101,A20)</f>
        <v>30</v>
      </c>
      <c r="D20" s="14">
        <f>C20/SUM($C$17:$C$20)</f>
        <v>0.3</v>
      </c>
      <c r="E20" s="15">
        <f t="array" ref="E20">MEDIAN(IF(Données!$S$2:$S$101=A20,Données!$L$2:$L$101))</f>
        <v>3150000</v>
      </c>
      <c r="F20" s="16">
        <f t="array" ref="F20">MEDIAN(IF(Données!$S$2:$S$101=A20,Données!$P$2:$P$101))</f>
        <v>7.5235619996593422E-2</v>
      </c>
      <c r="G20" s="14">
        <f>SUMIF(Données!$S$2:$S$101,A20,Données!$L$2:$L$101)/SUM(Données!$L$2:$L$101)</f>
        <v>4.6470692148454187E-2</v>
      </c>
    </row>
    <row r="22" spans="1:7" ht="33.75" customHeight="1">
      <c r="A22" s="39" t="str">
        <f>"Lecture : si portée et engagement allaient ensemble, il n’y aurait que deux profils. Or "&amp;C19&amp;" vidéos ont de la portée sans engagement et "&amp;C18&amp;" l’inverse : les vues seules ne disent pas si le public réagit. Seules "&amp;C17&amp;" vidéos sur "&amp;SUM(C17:C20)&amp;" cumulent les deux."</f>
        <v>Lecture : si portée et engagement allaient ensemble, il n’y aurait que deux profils. Or 20 vidéos ont de la portée sans engagement et 20 l’inverse : les vues seules ne disent pas si le public réagit. Seules 30 vidéos sur 100 cumulent les deux.</v>
      </c>
      <c r="B22" s="39"/>
      <c r="C22" s="39"/>
      <c r="D22" s="39"/>
      <c r="E22" s="39"/>
      <c r="F22" s="39"/>
      <c r="G22" s="39"/>
    </row>
    <row r="23" spans="1:7" ht="30" customHeight="1">
      <c r="A23" s="44" t="s">
        <v>979</v>
      </c>
      <c r="B23" s="44"/>
      <c r="C23" s="44"/>
      <c r="D23" s="44"/>
      <c r="E23" s="44"/>
      <c r="F23" s="44"/>
      <c r="G23" s="44"/>
    </row>
  </sheetData>
  <mergeCells count="10">
    <mergeCell ref="A6:G6"/>
    <mergeCell ref="A8:G8"/>
    <mergeCell ref="A15:G15"/>
    <mergeCell ref="A22:G22"/>
    <mergeCell ref="A23:G23"/>
    <mergeCell ref="A1:G1"/>
    <mergeCell ref="A2:G2"/>
    <mergeCell ref="A3:G3"/>
    <mergeCell ref="A4:G4"/>
    <mergeCell ref="A5:G5"/>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57D69"/>
    <pageSetUpPr fitToPage="1"/>
  </sheetPr>
  <dimension ref="A1:G29"/>
  <sheetViews>
    <sheetView showGridLines="0" topLeftCell="A44" zoomScaleNormal="100" workbookViewId="0">
      <selection activeCell="I22" sqref="I22"/>
    </sheetView>
  </sheetViews>
  <sheetFormatPr baseColWidth="10" defaultColWidth="8.6640625" defaultRowHeight="15"/>
  <cols>
    <col min="1" max="1" width="40" customWidth="1"/>
    <col min="2" max="3" width="20" customWidth="1"/>
    <col min="4" max="4" width="18" customWidth="1"/>
    <col min="5" max="5" width="22" customWidth="1"/>
    <col min="6" max="6" width="18" customWidth="1"/>
    <col min="7" max="7" width="22" customWidth="1"/>
  </cols>
  <sheetData>
    <row r="1" spans="1:7" ht="31.5" customHeight="1">
      <c r="A1" s="43" t="s">
        <v>65</v>
      </c>
      <c r="B1" s="43"/>
      <c r="C1" s="43"/>
      <c r="D1" s="43"/>
      <c r="E1" s="43"/>
      <c r="F1" s="43"/>
      <c r="G1" s="43"/>
    </row>
    <row r="2" spans="1:7" ht="27.75" customHeight="1">
      <c r="A2" s="44" t="s">
        <v>66</v>
      </c>
      <c r="B2" s="44"/>
      <c r="C2" s="44"/>
      <c r="D2" s="44"/>
      <c r="E2" s="44"/>
      <c r="F2" s="44"/>
      <c r="G2" s="44"/>
    </row>
    <row r="4" spans="1:7" ht="21.75" customHeight="1">
      <c r="A4" s="49" t="s">
        <v>980</v>
      </c>
      <c r="B4" s="49"/>
      <c r="C4" s="49"/>
      <c r="D4" s="49"/>
      <c r="E4" s="49"/>
      <c r="F4" s="49"/>
      <c r="G4" s="49"/>
    </row>
    <row r="5" spans="1:7" ht="31.5" customHeight="1">
      <c r="A5" s="56" t="s">
        <v>4</v>
      </c>
      <c r="B5" s="56" t="s">
        <v>67</v>
      </c>
      <c r="C5" s="56" t="s">
        <v>68</v>
      </c>
      <c r="D5" s="56" t="s">
        <v>69</v>
      </c>
      <c r="E5" s="63" t="s">
        <v>70</v>
      </c>
      <c r="F5" s="63"/>
      <c r="G5" s="63"/>
    </row>
    <row r="6" spans="1:7" ht="23.75" customHeight="1">
      <c r="A6" s="9" t="s">
        <v>71</v>
      </c>
      <c r="B6" s="64">
        <f t="array" ref="B6">MEDIAN(IF(Données!$T$2:$T$101=1,Données!$M$2:$M$101/Données!$L$2:$L$101))</f>
        <v>0.14571225577264652</v>
      </c>
      <c r="C6" s="16">
        <f t="array" ref="C6">MEDIAN(IF(Données!$T$2:$T$101=0,Données!$M$2:$M$101/Données!$L$2:$L$101))</f>
        <v>7.6847328112602198E-2</v>
      </c>
      <c r="D6" s="17">
        <f t="shared" ref="D6:D12" si="0">B6/C6</f>
        <v>1.8961265063001085</v>
      </c>
      <c r="E6" s="45" t="s">
        <v>72</v>
      </c>
      <c r="F6" s="45"/>
      <c r="G6" s="45"/>
    </row>
    <row r="7" spans="1:7" ht="15" customHeight="1">
      <c r="A7" s="9" t="s">
        <v>73</v>
      </c>
      <c r="B7" s="65">
        <f t="array" ref="B7">MEDIAN(IF(Données!$T$2:$T$101=1,Données!$N$2:$N$101/Données!$L$2:$L$101))</f>
        <v>1.7876480995014207E-3</v>
      </c>
      <c r="C7" s="18">
        <f t="array" ref="C7">MEDIAN(IF(Données!$T$2:$T$101=0,Données!$N$2:$N$101/Données!$L$2:$L$101))</f>
        <v>8.4208874458874456E-4</v>
      </c>
      <c r="D7" s="17">
        <f t="shared" si="0"/>
        <v>2.1228737600268772</v>
      </c>
      <c r="E7" s="45" t="s">
        <v>74</v>
      </c>
      <c r="F7" s="45"/>
      <c r="G7" s="45"/>
    </row>
    <row r="8" spans="1:7" ht="23.75" customHeight="1">
      <c r="A8" s="9" t="s">
        <v>75</v>
      </c>
      <c r="B8" s="65">
        <f t="array" ref="B8">MEDIAN(IF(Données!$T$2:$T$101=1,Données!$O$2:$O$101/Données!$L$2:$L$101))</f>
        <v>2.3732236350037395E-3</v>
      </c>
      <c r="C8" s="18">
        <f t="array" ref="C8">MEDIAN(IF(Données!$T$2:$T$101=0,Données!$O$2:$O$101/Données!$L$2:$L$101))</f>
        <v>6.0307219662058369E-3</v>
      </c>
      <c r="D8" s="17">
        <f t="shared" si="0"/>
        <v>0.39352230931926502</v>
      </c>
      <c r="E8" s="45" t="s">
        <v>76</v>
      </c>
      <c r="F8" s="45"/>
      <c r="G8" s="45"/>
    </row>
    <row r="9" spans="1:7" ht="15" customHeight="1">
      <c r="A9" s="9" t="s">
        <v>77</v>
      </c>
      <c r="B9" s="66">
        <f t="array" ref="B9">MEDIAN(IF(Données!$T$2:$T$101=1,Données!$H$2:$H$101))</f>
        <v>12</v>
      </c>
      <c r="C9" s="19">
        <f t="array" ref="C9">MEDIAN(IF(Données!$T$2:$T$101=0,Données!$H$2:$H$101))</f>
        <v>11</v>
      </c>
      <c r="D9" s="17">
        <f t="shared" si="0"/>
        <v>1.0909090909090908</v>
      </c>
      <c r="E9" s="45" t="s">
        <v>78</v>
      </c>
      <c r="F9" s="45"/>
      <c r="G9" s="45"/>
    </row>
    <row r="10" spans="1:7" ht="15" customHeight="1">
      <c r="A10" s="9" t="s">
        <v>79</v>
      </c>
      <c r="B10" s="66">
        <f t="array" ref="B10">MEDIAN(IF(Données!$T$2:$T$101=1,Données!$I$2:$I$101))</f>
        <v>3</v>
      </c>
      <c r="C10" s="19">
        <f t="array" ref="C10">MEDIAN(IF(Données!$T$2:$T$101=0,Données!$I$2:$I$101))</f>
        <v>3</v>
      </c>
      <c r="D10" s="17">
        <f t="shared" si="0"/>
        <v>1</v>
      </c>
      <c r="E10" s="45" t="s">
        <v>80</v>
      </c>
      <c r="F10" s="45"/>
      <c r="G10" s="45"/>
    </row>
    <row r="11" spans="1:7" ht="15" customHeight="1">
      <c r="A11" s="9" t="s">
        <v>81</v>
      </c>
      <c r="B11" s="67">
        <f t="array" ref="B11">MEDIAN(IF(Données!$T$2:$T$101=1,Données!$J$2:$J$101))</f>
        <v>49</v>
      </c>
      <c r="C11" s="20">
        <f t="array" ref="C11">MEDIAN(IF(Données!$T$2:$T$101=0,Données!$J$2:$J$101))</f>
        <v>46</v>
      </c>
      <c r="D11" s="17">
        <f t="shared" si="0"/>
        <v>1.0652173913043479</v>
      </c>
      <c r="E11" s="45" t="s">
        <v>80</v>
      </c>
      <c r="F11" s="45"/>
      <c r="G11" s="45"/>
    </row>
    <row r="12" spans="1:7" ht="30" customHeight="1">
      <c r="A12" s="9" t="s">
        <v>82</v>
      </c>
      <c r="B12" s="68">
        <f>AVERAGEIF(Données!$T$2:$T$101,1,Données!$K$2:$K$101)</f>
        <v>0.26666666666666666</v>
      </c>
      <c r="C12" s="14">
        <f>AVERAGEIF(Données!$T$2:$T$101,0,Données!$K$2:$K$101)</f>
        <v>0.48571428571428571</v>
      </c>
      <c r="D12" s="17">
        <f t="shared" si="0"/>
        <v>0.5490196078431373</v>
      </c>
      <c r="E12" s="45" t="s">
        <v>83</v>
      </c>
      <c r="F12" s="45"/>
      <c r="G12" s="45"/>
    </row>
    <row r="13" spans="1:7">
      <c r="A13" s="44" t="str">
        <f t="array" ref="A13">"Effectifs : "&amp;SUM(Données!$T$2:$T$101)&amp;" vidéos à succès complet contre "&amp;(COUNT(Données!$T$2:$T$101)-SUM(Données!$T$2:$T$101))&amp;" autres. Taux d’engagement médian : "&amp;ROUND(MEDIAN(IF(Données!$T$2:$T$101=1,Données!$P$2:$P$101))*100,1)&amp;" % contre "&amp;ROUND(MEDIAN(IF(Données!$T$2:$T$101=0,Données!$P$2:$P$101))*100,1)&amp;" %."</f>
        <v>Effectifs : 30 vidéos à succès complet contre 70 autres. Taux d’engagement médian : 15,6 % contre 8,2 %.</v>
      </c>
      <c r="B13" s="44"/>
      <c r="C13" s="44"/>
      <c r="D13" s="44"/>
      <c r="E13" s="44"/>
      <c r="F13" s="44"/>
      <c r="G13" s="44"/>
    </row>
    <row r="15" spans="1:7" ht="21.75" customHeight="1">
      <c r="A15" s="49" t="s">
        <v>84</v>
      </c>
      <c r="B15" s="49"/>
      <c r="C15" s="49"/>
      <c r="D15" s="49"/>
      <c r="E15" s="49"/>
      <c r="F15" s="49"/>
      <c r="G15" s="49"/>
    </row>
    <row r="16" spans="1:7" ht="31.5" customHeight="1">
      <c r="A16" s="56" t="s">
        <v>85</v>
      </c>
      <c r="B16" s="56" t="s">
        <v>86</v>
      </c>
      <c r="C16" s="56" t="s">
        <v>87</v>
      </c>
      <c r="D16" s="56" t="s">
        <v>36</v>
      </c>
      <c r="E16" s="56" t="s">
        <v>38</v>
      </c>
      <c r="F16" s="56" t="s">
        <v>37</v>
      </c>
      <c r="G16" s="56" t="s">
        <v>88</v>
      </c>
    </row>
    <row r="17" spans="1:7">
      <c r="A17" s="9" t="s">
        <v>89</v>
      </c>
      <c r="B17" s="21">
        <v>0</v>
      </c>
      <c r="C17" s="21">
        <v>1000000</v>
      </c>
      <c r="D17" s="11">
        <f>SUMPRODUCT((Données!$G$302:$G$401&gt;=B17)*(Données!$G$302:$G$401&lt;C17))</f>
        <v>28</v>
      </c>
      <c r="E17" s="16">
        <f t="array" ref="E17">MEDIAN(IF((Données!$G$302:$G$401&gt;=B17)*(Données!$G$302:$G$401&lt;C17)=1,Données!$P$302:$P$401))</f>
        <v>0.19109257599043716</v>
      </c>
      <c r="F17" s="15">
        <f t="array" ref="F17">MEDIAN(IF((Données!$G$302:$G$401&gt;=B17)*(Données!$G$302:$G$401&lt;C17)=1,Données!$L$302:$L$401))</f>
        <v>48400000</v>
      </c>
      <c r="G17" s="22">
        <f t="array" ref="G17">MEDIAN(IF((Données!$G$302:$G$401&gt;=B17)*(Données!$G$302:$G$401&lt;C17)=1,Données!$R$302:$R$401))</f>
        <v>111.79581350664563</v>
      </c>
    </row>
    <row r="18" spans="1:7">
      <c r="A18" s="9" t="s">
        <v>90</v>
      </c>
      <c r="B18" s="21">
        <v>1000000</v>
      </c>
      <c r="C18" s="21">
        <v>5000000</v>
      </c>
      <c r="D18" s="11">
        <f>SUMPRODUCT((Données!$G$302:$G$401&gt;=B18)*(Données!$G$302:$G$401&lt;C18))</f>
        <v>35</v>
      </c>
      <c r="E18" s="16">
        <f t="array" ref="E18">MEDIAN(IF((Données!$G$302:$G$401&gt;=B18)*(Données!$G$302:$G$401&lt;C18)=1,Données!$P$302:$P$401))</f>
        <v>0.14329602220166512</v>
      </c>
      <c r="F18" s="15">
        <f t="array" ref="F18">MEDIAN(IF((Données!$G$302:$G$401&gt;=B18)*(Données!$G$302:$G$401&lt;C18)=1,Données!$L$302:$L$401))</f>
        <v>65900000</v>
      </c>
      <c r="G18" s="22">
        <f t="array" ref="G18">MEDIAN(IF((Données!$G$302:$G$401&gt;=B18)*(Données!$G$302:$G$401&lt;C18)=1,Données!$R$302:$R$401))</f>
        <v>29.714285714285715</v>
      </c>
    </row>
    <row r="19" spans="1:7">
      <c r="A19" s="9" t="s">
        <v>91</v>
      </c>
      <c r="B19" s="21">
        <v>5000000</v>
      </c>
      <c r="C19" s="21">
        <v>10000000000</v>
      </c>
      <c r="D19" s="11">
        <f>SUMPRODUCT((Données!$G$302:$G$401&gt;=B19)*(Données!$G$302:$G$401&lt;C19))</f>
        <v>37</v>
      </c>
      <c r="E19" s="16">
        <f t="array" ref="E19">MEDIAN(IF((Données!$G$302:$G$401&gt;=B19)*(Données!$G$302:$G$401&lt;C19)=1,Données!$P$302:$P$401))</f>
        <v>0.15439209225700165</v>
      </c>
      <c r="F19" s="15">
        <f t="array" ref="F19">MEDIAN(IF((Données!$G$302:$G$401&gt;=B19)*(Données!$G$302:$G$401&lt;C19)=1,Données!$L$302:$L$401))</f>
        <v>55400000</v>
      </c>
      <c r="G19" s="22">
        <f t="array" ref="G19">MEDIAN(IF((Données!$G$302:$G$401&gt;=B19)*(Données!$G$302:$G$401&lt;C19)=1,Données!$R$302:$R$401))</f>
        <v>6.2784810126582276</v>
      </c>
    </row>
    <row r="20" spans="1:7">
      <c r="A20" s="9" t="s">
        <v>92</v>
      </c>
      <c r="B20" s="23" t="s">
        <v>93</v>
      </c>
      <c r="C20" s="23" t="s">
        <v>93</v>
      </c>
      <c r="D20" s="11">
        <f>COUNTIF(Données!$F$302:$F$401,"Oui")</f>
        <v>41</v>
      </c>
      <c r="E20" s="16">
        <f t="array" ref="E20">MEDIAN(IF(Données!$F$302:$F$401="Oui",Données!$P$302:$P$401))</f>
        <v>0.15439209225700165</v>
      </c>
      <c r="F20" s="15">
        <f t="array" ref="F20">MEDIAN(IF(Données!$F$302:$F$401="Oui",Données!$L$302:$L$401))</f>
        <v>54200000</v>
      </c>
      <c r="G20" s="22">
        <f t="array" ref="G20">MEDIAN(IF(Données!$F$302:$F$401="Oui",Données!$R$302:$R$401))</f>
        <v>7.6</v>
      </c>
    </row>
    <row r="21" spans="1:7">
      <c r="A21" s="9" t="s">
        <v>94</v>
      </c>
      <c r="B21" s="23" t="s">
        <v>93</v>
      </c>
      <c r="C21" s="23" t="s">
        <v>93</v>
      </c>
      <c r="D21" s="11">
        <f>COUNTIF(Données!$F$302:$F$401,"Non")</f>
        <v>59</v>
      </c>
      <c r="E21" s="16">
        <f t="array" ref="E21">MEDIAN(IF(Données!$F$302:$F$401="Non",Données!$P$302:$P$401))</f>
        <v>0.1680060606060606</v>
      </c>
      <c r="F21" s="15">
        <f t="array" ref="F21">MEDIAN(IF(Données!$F$302:$F$401="Non",Données!$L$302:$L$401))</f>
        <v>52600000</v>
      </c>
      <c r="G21" s="22">
        <f t="array" ref="G21">MEDIAN(IF(Données!$F$302:$F$401="Non",Données!$R$302:$R$401))</f>
        <v>70.327552986512529</v>
      </c>
    </row>
    <row r="22" spans="1:7" ht="30" customHeight="1">
      <c r="A22" s="39" t="s">
        <v>95</v>
      </c>
      <c r="B22" s="39"/>
      <c r="C22" s="39"/>
      <c r="D22" s="39"/>
      <c r="E22" s="39"/>
      <c r="F22" s="39"/>
      <c r="G22" s="39"/>
    </row>
    <row r="24" spans="1:7" ht="21.75" customHeight="1">
      <c r="A24" s="49" t="s">
        <v>96</v>
      </c>
      <c r="B24" s="49"/>
      <c r="C24" s="49"/>
      <c r="D24" s="49"/>
      <c r="E24" s="49"/>
      <c r="F24" s="49"/>
      <c r="G24" s="49"/>
    </row>
    <row r="25" spans="1:7" ht="31.5" customHeight="1">
      <c r="A25" s="56" t="s">
        <v>97</v>
      </c>
      <c r="B25" s="56" t="s">
        <v>98</v>
      </c>
      <c r="C25" s="56" t="s">
        <v>99</v>
      </c>
      <c r="D25" s="56" t="s">
        <v>100</v>
      </c>
      <c r="E25" s="56" t="s">
        <v>101</v>
      </c>
      <c r="F25" s="56" t="s">
        <v>102</v>
      </c>
      <c r="G25" s="56" t="s">
        <v>103</v>
      </c>
    </row>
    <row r="26" spans="1:7">
      <c r="A26" s="9" t="s">
        <v>43</v>
      </c>
      <c r="B26" s="64">
        <f t="array" ref="B26">MEDIAN(IF(Données!$T$102:$T$201=1,Données!$Q$102:$Q$201))</f>
        <v>0.22727272727272727</v>
      </c>
      <c r="C26" s="16">
        <f t="array" ref="C26">MEDIAN(IF(Données!$T$102:$T$201=0,Données!$Q$102:$Q$201))</f>
        <v>0.14820042342978124</v>
      </c>
      <c r="D26" s="66">
        <f t="array" ref="D26">MEDIAN(IF(Données!$T$102:$T$201=1,Données!$H$102:$H$201))</f>
        <v>15</v>
      </c>
      <c r="E26" s="19">
        <f t="array" ref="E26">MEDIAN(IF(Données!$T$102:$T$201=0,Données!$H$102:$H$201))</f>
        <v>16</v>
      </c>
      <c r="F26" s="66">
        <f t="array" ref="F26">MEDIAN(IF(Données!$T$102:$T$201=1,Données!$I$102:$I$201))</f>
        <v>1</v>
      </c>
      <c r="G26" s="19">
        <f t="array" ref="G26">MEDIAN(IF(Données!$T$102:$T$201=0,Données!$I$102:$I$201))</f>
        <v>2</v>
      </c>
    </row>
    <row r="27" spans="1:7">
      <c r="A27" s="9" t="s">
        <v>46</v>
      </c>
      <c r="B27" s="64">
        <f t="array" ref="B27">MEDIAN(IF(Données!$T$202:$T$301=1,Données!$Q$202:$Q$301))</f>
        <v>8.3898026315789465E-2</v>
      </c>
      <c r="C27" s="16">
        <f t="array" ref="C27">MEDIAN(IF(Données!$T$202:$T$301=0,Données!$Q$202:$Q$301))</f>
        <v>4.7333976062057387E-2</v>
      </c>
      <c r="D27" s="66">
        <f t="array" ref="D27">MEDIAN(IF(Données!$T$202:$T$301=1,Données!$H$202:$H$301))</f>
        <v>30</v>
      </c>
      <c r="E27" s="19">
        <f t="array" ref="E27">MEDIAN(IF(Données!$T$202:$T$301=0,Données!$H$202:$H$301))</f>
        <v>21.5</v>
      </c>
      <c r="F27" s="66">
        <f t="array" ref="F27">MEDIAN(IF(Données!$T$202:$T$301=1,Données!$I$202:$I$301))</f>
        <v>1</v>
      </c>
      <c r="G27" s="19">
        <f t="array" ref="G27">MEDIAN(IF(Données!$T$202:$T$301=0,Données!$I$202:$I$301))</f>
        <v>1</v>
      </c>
    </row>
    <row r="28" spans="1:7">
      <c r="A28" s="9" t="s">
        <v>49</v>
      </c>
      <c r="B28" s="64">
        <f t="array" ref="B28">MEDIAN(IF(Données!$T$302:$T$401=1,Données!$Q$302:$Q$401))</f>
        <v>0.1801132413498048</v>
      </c>
      <c r="C28" s="16">
        <f t="array" ref="C28">MEDIAN(IF(Données!$T$302:$T$401=0,Données!$Q$302:$Q$401))</f>
        <v>0.14496321418413838</v>
      </c>
      <c r="D28" s="66">
        <f t="array" ref="D28">MEDIAN(IF(Données!$T$302:$T$401=1,Données!$H$302:$H$401))</f>
        <v>12</v>
      </c>
      <c r="E28" s="19">
        <f t="array" ref="E28">MEDIAN(IF(Données!$T$302:$T$401=0,Données!$H$302:$H$401))</f>
        <v>17.5</v>
      </c>
      <c r="F28" s="66">
        <f t="array" ref="F28">MEDIAN(IF(Données!$T$302:$T$401=1,Données!$I$302:$I$401))</f>
        <v>7</v>
      </c>
      <c r="G28" s="19">
        <f t="array" ref="G28">MEDIAN(IF(Données!$T$302:$T$401=0,Données!$I$302:$I$401))</f>
        <v>8.5</v>
      </c>
    </row>
    <row r="29" spans="1:7" ht="30" customHeight="1">
      <c r="A29" s="39" t="s">
        <v>104</v>
      </c>
      <c r="B29" s="39"/>
      <c r="C29" s="39"/>
      <c r="D29" s="39"/>
      <c r="E29" s="39"/>
      <c r="F29" s="39"/>
      <c r="G29" s="39"/>
    </row>
  </sheetData>
  <mergeCells count="16">
    <mergeCell ref="A29:G29"/>
    <mergeCell ref="E12:G12"/>
    <mergeCell ref="A13:G13"/>
    <mergeCell ref="A15:G15"/>
    <mergeCell ref="A22:G22"/>
    <mergeCell ref="A24:G24"/>
    <mergeCell ref="E7:G7"/>
    <mergeCell ref="E8:G8"/>
    <mergeCell ref="E9:G9"/>
    <mergeCell ref="E10:G10"/>
    <mergeCell ref="E11:G11"/>
    <mergeCell ref="A1:G1"/>
    <mergeCell ref="A2:G2"/>
    <mergeCell ref="A4:G4"/>
    <mergeCell ref="E5:G5"/>
    <mergeCell ref="E6:G6"/>
  </mergeCells>
  <pageMargins left="0.75" right="0.75" top="1" bottom="1" header="0.511811023622047" footer="0.511811023622047"/>
  <pageSetup fitToHeight="0" orientation="landscape"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57D69"/>
    <pageSetUpPr fitToPage="1"/>
  </sheetPr>
  <dimension ref="A1:Q63"/>
  <sheetViews>
    <sheetView showGridLines="0" zoomScaleNormal="100" workbookViewId="0">
      <selection activeCell="A11" sqref="A11"/>
    </sheetView>
  </sheetViews>
  <sheetFormatPr baseColWidth="10" defaultColWidth="8.6640625" defaultRowHeight="15"/>
  <cols>
    <col min="1" max="1" width="26" customWidth="1"/>
    <col min="2" max="2" width="11" customWidth="1"/>
    <col min="3" max="3" width="13" customWidth="1"/>
    <col min="4" max="4" width="16" customWidth="1"/>
    <col min="5" max="5" width="14" customWidth="1"/>
    <col min="6" max="7" width="16" customWidth="1"/>
    <col min="8" max="8" width="26" customWidth="1"/>
    <col min="9" max="9" width="16" customWidth="1"/>
    <col min="10" max="10" width="26" customWidth="1"/>
    <col min="11" max="11" width="14" customWidth="1"/>
    <col min="12" max="12" width="62" customWidth="1"/>
    <col min="13" max="13" width="4" customWidth="1"/>
    <col min="14" max="14" width="22" customWidth="1"/>
    <col min="15" max="15" width="14" customWidth="1"/>
    <col min="16" max="16" width="22" customWidth="1"/>
    <col min="17" max="17" width="12" customWidth="1"/>
  </cols>
  <sheetData>
    <row r="1" spans="1:12" ht="31.5" customHeight="1">
      <c r="A1" s="43" t="s">
        <v>105</v>
      </c>
      <c r="B1" s="43"/>
      <c r="C1" s="43"/>
      <c r="D1" s="43"/>
      <c r="E1" s="43"/>
      <c r="F1" s="43"/>
      <c r="G1" s="43"/>
      <c r="H1" s="43"/>
      <c r="I1" s="43"/>
      <c r="J1" s="43"/>
      <c r="K1" s="43"/>
      <c r="L1" s="43"/>
    </row>
    <row r="2" spans="1:12" ht="27.75" customHeight="1">
      <c r="A2" s="44" t="s">
        <v>106</v>
      </c>
      <c r="B2" s="44"/>
      <c r="C2" s="44"/>
      <c r="D2" s="44"/>
      <c r="E2" s="44"/>
      <c r="F2" s="44"/>
      <c r="G2" s="44"/>
      <c r="H2" s="44"/>
      <c r="I2" s="44"/>
      <c r="J2" s="44"/>
      <c r="K2" s="44"/>
      <c r="L2" s="44"/>
    </row>
    <row r="4" spans="1:17" ht="21.75" customHeight="1">
      <c r="A4" s="49" t="s">
        <v>107</v>
      </c>
      <c r="B4" s="49"/>
      <c r="C4" s="49"/>
      <c r="D4" s="49"/>
      <c r="E4" s="49"/>
      <c r="F4" s="49"/>
      <c r="G4" s="49"/>
      <c r="H4" s="49"/>
      <c r="I4" s="49"/>
      <c r="J4" s="49"/>
      <c r="K4" s="49"/>
      <c r="L4" s="49"/>
      <c r="N4" s="56" t="inlineStr">
        <is>
          <t>Données triées pour les graphiques (calculées)</t>
        </is>
      </c>
    </row>
    <row r="5" spans="1:17" ht="45" customHeight="1">
      <c r="A5" s="56" t="s">
        <v>108</v>
      </c>
      <c r="B5" s="56" t="s">
        <v>36</v>
      </c>
      <c r="C5" s="56" t="s">
        <v>109</v>
      </c>
      <c r="D5" s="56" t="s">
        <v>23</v>
      </c>
      <c r="E5" s="56" t="s">
        <v>110</v>
      </c>
      <c r="F5" s="56" t="s">
        <v>38</v>
      </c>
      <c r="G5" s="56" t="s">
        <v>111</v>
      </c>
      <c r="H5" s="56" t="s">
        <v>112</v>
      </c>
      <c r="I5" s="56" t="s">
        <v>113</v>
      </c>
      <c r="J5" s="56" t="s">
        <v>114</v>
      </c>
      <c r="K5" s="56" t="s">
        <v>115</v>
      </c>
      <c r="L5" s="56" t="s">
        <v>70</v>
      </c>
      <c r="N5" s="56" t="inlineStr">
        <is>
          <t>Catégorie</t>
        </is>
      </c>
      <c r="O5" s="56" t="inlineStr">
        <is>
          <t>Taux d’engagement médian</t>
        </is>
      </c>
      <c r="P5" s="56" t="inlineStr">
        <is>
          <t>Catégorie</t>
        </is>
      </c>
      <c r="Q5" s="56" t="inlineStr">
        <is>
          <t>Part des vues</t>
        </is>
      </c>
    </row>
    <row r="6" spans="1:17" ht="43.5" customHeight="1">
      <c r="A6" s="84" t="s">
        <v>116</v>
      </c>
      <c r="B6" s="11">
        <f>COUNTIF(Données!$E$2:$E$101,A6)</f>
        <v>18</v>
      </c>
      <c r="C6" s="11">
        <f>SUMPRODUCT((Données!$E$2:$E$101=A6)/COUNTIFS(Données!$C$2:$C$101,Données!$C$2:$C$101,Données!$E$2:$E$101,Données!$E$2:$E$101))</f>
        <v>17</v>
      </c>
      <c r="D6" s="12">
        <f>SUMIF(Données!$E$2:$E$101,A6,Données!$L$2:$L$101)</f>
        <v>604437500</v>
      </c>
      <c r="E6" s="14">
        <f t="shared" ref="E6:E11" si="0">D6/SUM($D$6:$D$11)</f>
        <v>0.25847329502344479</v>
      </c>
      <c r="F6" s="16">
        <f t="array" ref="F6">MEDIAN(IF(Données!$E$2:$E$101=A6,Données!$P$2:$P$101))</f>
        <v>7.8600357274919402E-2</v>
      </c>
      <c r="G6" s="14">
        <f>COUNTIFS(Données!$E$2:$E$101,A6,Données!$S$2:$S$101,"Succès complet")/B6</f>
        <v>0.27777777777777779</v>
      </c>
      <c r="H6" s="10" t="s">
        <v>117</v>
      </c>
      <c r="I6" s="14">
        <f>SUMIF(Données!$C$2:$C$101,"TND-049",Données!$L$2:$L$101)/D6</f>
        <v>0.27347740667976422</v>
      </c>
      <c r="J6" s="10" t="s">
        <v>118</v>
      </c>
      <c r="K6" s="13">
        <f>(SUMIF(Données!$C$2:$C$101,"TND-060",Données!$M$2:$M$101)+SUMIF(Données!$C$2:$C$101,"TND-060",Données!$N$2:$N$101)+SUMIF(Données!$C$2:$C$101,"TND-060",Données!$O$2:$O$101))/SUMIF(Données!$C$2:$C$101,"TND-060",Données!$L$2:$L$101)</f>
        <v>0.14754811320754718</v>
      </c>
      <c r="L6" s="10" t="s">
        <v>119</v>
      </c>
      <c r="N6" s="84" t="str">
        <f>INDEX($A$6:$A$11,MATCH(O6,$F$6:$F$11,0))</f>
        <v>Humour &amp; sketchs</v>
      </c>
      <c r="O6" s="16">
        <f>SMALL($F$6:$F$11,1)</f>
        <v>0.0786003572749194</v>
      </c>
      <c r="P6" s="84" t="str">
        <f>INDEX($A$6:$A$11,MATCH(Q6,$E$6:$E$11,0))</f>
        <v>Musique &amp; danse</v>
      </c>
      <c r="Q6" s="14">
        <f>SMALL($E$6:$E$11,1)</f>
        <v>0.0428053799306741</v>
      </c>
    </row>
    <row r="7" spans="1:17" ht="43.5" customHeight="1">
      <c r="A7" s="83" t="s">
        <v>120</v>
      </c>
      <c r="B7" s="11">
        <f>COUNTIF(Données!$E$2:$E$101,A7)</f>
        <v>17</v>
      </c>
      <c r="C7" s="11">
        <f>SUMPRODUCT((Données!$E$2:$E$101=A7)/COUNTIFS(Données!$C$2:$C$101,Données!$C$2:$C$101,Données!$E$2:$E$101,Données!$E$2:$E$101))</f>
        <v>17</v>
      </c>
      <c r="D7" s="12">
        <f>SUMIF(Données!$E$2:$E$101,A7,Données!$L$2:$L$101)</f>
        <v>151191300</v>
      </c>
      <c r="E7" s="14">
        <f t="shared" si="0"/>
        <v>6.4653357030095171E-2</v>
      </c>
      <c r="F7" s="16">
        <f t="array" ref="F7">MEDIAN(IF(Données!$E$2:$E$101=A7,Données!$P$2:$P$101))</f>
        <v>0.10179430379746836</v>
      </c>
      <c r="G7" s="14">
        <f>COUNTIFS(Données!$E$2:$E$101,A7,Données!$S$2:$S$101,"Succès complet")/B7</f>
        <v>0.11764705882352941</v>
      </c>
      <c r="H7" s="10" t="s">
        <v>121</v>
      </c>
      <c r="I7" s="14">
        <f>SUMIF(Données!$C$2:$C$101,"TND-003",Données!$L$2:$L$101)/D7</f>
        <v>0.29829758722889477</v>
      </c>
      <c r="J7" s="10" t="s">
        <v>122</v>
      </c>
      <c r="K7" s="13">
        <f>(SUMIF(Données!$C$2:$C$101,"TND-014",Données!$M$2:$M$101)+SUMIF(Données!$C$2:$C$101,"TND-014",Données!$N$2:$N$101)+SUMIF(Données!$C$2:$C$101,"TND-014",Données!$O$2:$O$101))/SUMIF(Données!$C$2:$C$101,"TND-014",Données!$L$2:$L$101)</f>
        <v>0.19607894736842105</v>
      </c>
      <c r="L7" s="10" t="s">
        <v>123</v>
      </c>
      <c r="N7" s="84" t="str">
        <f>INDEX($A$6:$A$11,MATCH(O7,$F$6:$F$11,0))</f>
        <v>Non classé</v>
      </c>
      <c r="O7" s="16">
        <f>SMALL($F$6:$F$11,2)</f>
        <v>0.098003125</v>
      </c>
      <c r="P7" s="84" t="str">
        <f>INDEX($A$6:$A$11,MATCH(Q7,$E$6:$E$11,0))</f>
        <v>Food &amp; lifestyle</v>
      </c>
      <c r="Q7" s="14">
        <f>SMALL($E$6:$E$11,2)</f>
        <v>0.0527690697646872</v>
      </c>
    </row>
    <row r="8" spans="1:17" ht="43.5" customHeight="1">
      <c r="A8" s="79" t="s">
        <v>124</v>
      </c>
      <c r="B8" s="11">
        <f>COUNTIF(Données!$E$2:$E$101,A8)</f>
        <v>14</v>
      </c>
      <c r="C8" s="11">
        <f>SUMPRODUCT((Données!$E$2:$E$101=A8)/COUNTIFS(Données!$C$2:$C$101,Données!$C$2:$C$101,Données!$E$2:$E$101,Données!$E$2:$E$101))</f>
        <v>14</v>
      </c>
      <c r="D8" s="12">
        <f>SUMIF(Données!$E$2:$E$101,A8,Données!$L$2:$L$101)</f>
        <v>284500000</v>
      </c>
      <c r="E8" s="14">
        <f t="shared" si="0"/>
        <v>0.12165964625651131</v>
      </c>
      <c r="F8" s="16">
        <f t="array" ref="F8">MEDIAN(IF(Données!$E$2:$E$101=A8,Données!$P$2:$P$101))</f>
        <v>0.13478348484848485</v>
      </c>
      <c r="G8" s="14">
        <f>COUNTIFS(Données!$E$2:$E$101,A8,Données!$S$2:$S$101,"Succès complet")/B8</f>
        <v>0.2857142857142857</v>
      </c>
      <c r="H8" s="10" t="s">
        <v>125</v>
      </c>
      <c r="I8" s="14">
        <f>SUMIF(Données!$C$2:$C$101,"TND-008",Données!$L$2:$L$101)/D8</f>
        <v>0.2804920913884007</v>
      </c>
      <c r="J8" s="10" t="s">
        <v>126</v>
      </c>
      <c r="K8" s="13">
        <f>(SUMIF(Données!$C$2:$C$101,"TND-052",Données!$M$2:$M$101)+SUMIF(Données!$C$2:$C$101,"TND-052",Données!$N$2:$N$101)+SUMIF(Données!$C$2:$C$101,"TND-052",Données!$O$2:$O$101))/SUMIF(Données!$C$2:$C$101,"TND-052",Données!$L$2:$L$101)</f>
        <v>0.17048358208955225</v>
      </c>
      <c r="L8" s="10" t="s">
        <v>127</v>
      </c>
      <c r="N8" s="84" t="str">
        <f>INDEX($A$6:$A$11,MATCH(O8,$F$6:$F$11,0))</f>
        <v>Animaux</v>
      </c>
      <c r="O8" s="16">
        <f>SMALL($F$6:$F$11,3)</f>
        <v>0.101794303797468</v>
      </c>
      <c r="P8" s="84" t="str">
        <f>INDEX($A$6:$A$11,MATCH(Q8,$E$6:$E$11,0))</f>
        <v>Animaux</v>
      </c>
      <c r="Q8" s="14">
        <f>SMALL($E$6:$E$11,3)</f>
        <v>0.0646533570300952</v>
      </c>
    </row>
    <row r="9" spans="1:17" ht="43.5" customHeight="1">
      <c r="A9" s="82" t="s">
        <v>128</v>
      </c>
      <c r="B9" s="11">
        <f>COUNTIF(Données!$E$2:$E$101,A9)</f>
        <v>7</v>
      </c>
      <c r="C9" s="11">
        <f>SUMPRODUCT((Données!$E$2:$E$101=A9)/COUNTIFS(Données!$C$2:$C$101,Données!$C$2:$C$101,Données!$E$2:$E$101,Données!$E$2:$E$101))</f>
        <v>4.9999999999999991</v>
      </c>
      <c r="D9" s="12">
        <f>SUMIF(Données!$E$2:$E$101,A9,Données!$L$2:$L$101)</f>
        <v>123400000</v>
      </c>
      <c r="E9" s="14">
        <f t="shared" si="0"/>
        <v>5.2769069764687156E-2</v>
      </c>
      <c r="F9" s="16">
        <f t="array" ref="F9">MEDIAN(IF(Données!$E$2:$E$101=A9,Données!$P$2:$P$101))</f>
        <v>0.16186746987951808</v>
      </c>
      <c r="G9" s="14">
        <f>COUNTIFS(Données!$E$2:$E$101,A9,Données!$S$2:$S$101,"Succès complet")/B9</f>
        <v>0.7142857142857143</v>
      </c>
      <c r="H9" s="10" t="s">
        <v>129</v>
      </c>
      <c r="I9" s="14">
        <f>SUMIF(Données!$C$2:$C$101,"TND-010",Données!$L$2:$L$101)/D9</f>
        <v>0.59886547811993518</v>
      </c>
      <c r="J9" s="10" t="s">
        <v>129</v>
      </c>
      <c r="K9" s="13">
        <f>(SUMIF(Données!$C$2:$C$101,"TND-010",Données!$M$2:$M$101)+SUMIF(Données!$C$2:$C$101,"TND-010",Données!$N$2:$N$101)+SUMIF(Données!$C$2:$C$101,"TND-010",Données!$O$2:$O$101))/SUMIF(Données!$C$2:$C$101,"TND-010",Données!$L$2:$L$101)</f>
        <v>0.2506576454668471</v>
      </c>
      <c r="L9" s="10" t="s">
        <v>130</v>
      </c>
      <c r="N9" s="84" t="str">
        <f>INDEX($A$6:$A$11,MATCH(O9,$F$6:$F$11,0))</f>
        <v>Musique &amp; danse</v>
      </c>
      <c r="O9" s="16">
        <f>SMALL($F$6:$F$11,4)</f>
        <v>0.113045217391304</v>
      </c>
      <c r="P9" s="84" t="str">
        <f>INDEX($A$6:$A$11,MATCH(Q9,$E$6:$E$11,0))</f>
        <v>Famille &amp; enfants</v>
      </c>
      <c r="Q9" s="14">
        <f>SMALL($E$6:$E$11,4)</f>
        <v>0.121659646256511</v>
      </c>
    </row>
    <row r="10" spans="1:17" ht="43.5" customHeight="1">
      <c r="A10" s="81" t="s">
        <v>131</v>
      </c>
      <c r="B10" s="11">
        <f>COUNTIF(Données!$E$2:$E$101,A10)</f>
        <v>5</v>
      </c>
      <c r="C10" s="11">
        <f>SUMPRODUCT((Données!$E$2:$E$101=A10)/COUNTIFS(Données!$C$2:$C$101,Données!$C$2:$C$101,Données!$E$2:$E$101,Données!$E$2:$E$101))</f>
        <v>4</v>
      </c>
      <c r="D10" s="12">
        <f>SUMIF(Données!$E$2:$E$101,A10,Données!$L$2:$L$101)</f>
        <v>100100000</v>
      </c>
      <c r="E10" s="14">
        <f t="shared" si="0"/>
        <v>4.2805379930674098E-2</v>
      </c>
      <c r="F10" s="16">
        <f t="array" ref="F10">MEDIAN(IF(Données!$E$2:$E$101=A10,Données!$P$2:$P$101))</f>
        <v>0.11304521739130435</v>
      </c>
      <c r="G10" s="14">
        <f>COUNTIFS(Données!$E$2:$E$101,A10,Données!$S$2:$S$101,"Succès complet")/B10</f>
        <v>0.4</v>
      </c>
      <c r="H10" s="10" t="s">
        <v>132</v>
      </c>
      <c r="I10" s="14">
        <f>SUMIF(Données!$C$2:$C$101,"TND-042",Données!$L$2:$L$101)/D10</f>
        <v>0.43156843156843155</v>
      </c>
      <c r="J10" s="10" t="s">
        <v>133</v>
      </c>
      <c r="K10" s="13">
        <f>(SUMIF(Données!$C$2:$C$101,"TND-001",Données!$M$2:$M$101)+SUMIF(Données!$C$2:$C$101,"TND-001",Données!$N$2:$N$101)+SUMIF(Données!$C$2:$C$101,"TND-001",Données!$O$2:$O$101))/SUMIF(Données!$C$2:$C$101,"TND-001",Données!$L$2:$L$101)</f>
        <v>0.36091760299625469</v>
      </c>
      <c r="L10" s="10" t="s">
        <v>134</v>
      </c>
      <c r="N10" s="84" t="str">
        <f>INDEX($A$6:$A$11,MATCH(O10,$F$6:$F$11,0))</f>
        <v>Famille &amp; enfants</v>
      </c>
      <c r="O10" s="16">
        <f>SMALL($F$6:$F$11,5)</f>
        <v>0.134783484848485</v>
      </c>
      <c r="P10" s="84" t="str">
        <f>INDEX($A$6:$A$11,MATCH(Q10,$E$6:$E$11,0))</f>
        <v>Humour &amp; sketchs</v>
      </c>
      <c r="Q10" s="14">
        <f>SMALL($E$6:$E$11,5)</f>
        <v>0.258473295023445</v>
      </c>
    </row>
    <row r="11" spans="1:17" ht="43.5" customHeight="1">
      <c r="A11" s="80" t="s">
        <v>135</v>
      </c>
      <c r="B11" s="11">
        <f>COUNTIF(Données!$E$2:$E$101,A11)</f>
        <v>39</v>
      </c>
      <c r="C11" s="11">
        <f>SUMPRODUCT((Données!$E$2:$E$101=A11)/COUNTIFS(Données!$C$2:$C$101,Données!$C$2:$C$101,Données!$E$2:$E$101,Données!$E$2:$E$101))</f>
        <v>27</v>
      </c>
      <c r="D11" s="12">
        <f>SUMIF(Données!$E$2:$E$101,A11,Données!$L$2:$L$101)</f>
        <v>1074862300</v>
      </c>
      <c r="E11" s="14">
        <f t="shared" si="0"/>
        <v>0.45963925199458744</v>
      </c>
      <c r="F11" s="16">
        <f t="array" ref="F11">MEDIAN(IF(Données!$E$2:$E$101=A11,Données!$P$2:$P$101))</f>
        <v>9.8003124999999996E-2</v>
      </c>
      <c r="G11" s="14">
        <f>COUNTIFS(Données!$E$2:$E$101,A11,Données!$S$2:$S$101,"Succès complet")/B11</f>
        <v>0.30769230769230771</v>
      </c>
      <c r="H11" s="10" t="s">
        <v>136</v>
      </c>
      <c r="I11" s="14">
        <f>SUMIF(Données!$C$2:$C$101,"TND-051",Données!$L$2:$L$101)/D11</f>
        <v>0.20681718951348466</v>
      </c>
      <c r="J11" s="10" t="s">
        <v>137</v>
      </c>
      <c r="K11" s="13">
        <f>(SUMIF(Données!$C$2:$C$101,"TND-039",Données!$M$2:$M$101)+SUMIF(Données!$C$2:$C$101,"TND-039",Données!$N$2:$N$101)+SUMIF(Données!$C$2:$C$101,"TND-039",Données!$O$2:$O$101))/SUMIF(Données!$C$2:$C$101,"TND-039",Données!$L$2:$L$101)</f>
        <v>0.23800709219858157</v>
      </c>
      <c r="L11" s="10" t="s">
        <v>138</v>
      </c>
      <c r="N11" s="84" t="str">
        <f>INDEX($A$6:$A$11,MATCH(O11,$F$6:$F$11,0))</f>
        <v>Food &amp; lifestyle</v>
      </c>
      <c r="O11" s="16">
        <f>SMALL($F$6:$F$11,6)</f>
        <v>0.161867469879518</v>
      </c>
      <c r="P11" s="84" t="str">
        <f>INDEX($A$6:$A$11,MATCH(Q11,$E$6:$E$11,0))</f>
        <v>Non classé</v>
      </c>
      <c r="Q11" s="14">
        <f>SMALL($E$6:$E$11,6)</f>
        <v>0.459639251994587</v>
      </c>
    </row>
    <row r="12" spans="1:12">
      <c r="A12" s="24" t="s">
        <v>139</v>
      </c>
      <c r="B12" s="25">
        <f>SUM(B6:B11)</f>
        <v>100</v>
      </c>
      <c r="C12" s="25">
        <f>SUMPRODUCT(1/COUNTIF(Données!$C$2:$C$101,Données!$C$2:$C$101))</f>
        <v>84</v>
      </c>
      <c r="D12" s="26">
        <f>SUM(D6:D11)</f>
        <v>2338491100</v>
      </c>
      <c r="E12" s="27">
        <f>SUM(E6:E11)</f>
        <v>1</v>
      </c>
      <c r="F12" s="28">
        <f>MEDIAN(Données!$P$2:$P$101)</f>
        <v>0.10677180525585697</v>
      </c>
      <c r="G12" s="27">
        <f>COUNTIF(Données!$S$2:$S$101,"Succès complet")/B12</f>
        <v>0.3</v>
      </c>
      <c r="H12" s="29"/>
      <c r="I12" s="29"/>
      <c r="J12" s="29"/>
      <c r="K12" s="29"/>
      <c r="L12" s="29"/>
    </row>
    <row r="13" spans="1:12" ht="27.75" customHeight="1">
      <c r="A13" s="44" t="s">
        <v>140</v>
      </c>
      <c r="B13" s="44"/>
      <c r="C13" s="44"/>
      <c r="D13" s="44"/>
      <c r="E13" s="44"/>
      <c r="F13" s="44"/>
      <c r="G13" s="44"/>
      <c r="H13" s="44"/>
      <c r="I13" s="44"/>
      <c r="J13" s="44"/>
      <c r="K13" s="44"/>
      <c r="L13" s="44"/>
    </row>
    <row r="31" spans="1:12" ht="21.75" customHeight="1">
      <c r="A31" s="49" t="s">
        <v>141</v>
      </c>
      <c r="B31" s="49"/>
      <c r="C31" s="49"/>
      <c r="D31" s="49"/>
      <c r="E31" s="49"/>
      <c r="F31" s="49"/>
      <c r="G31" s="49"/>
      <c r="H31" s="49"/>
      <c r="I31" s="49"/>
      <c r="J31" s="49"/>
      <c r="K31" s="49"/>
      <c r="L31" s="49"/>
    </row>
    <row r="32" spans="1:12" ht="31.5" customHeight="1">
      <c r="A32" s="56" t="s">
        <v>142</v>
      </c>
      <c r="B32" s="56" t="s">
        <v>143</v>
      </c>
      <c r="C32" s="56" t="s">
        <v>144</v>
      </c>
      <c r="D32" s="56" t="s">
        <v>145</v>
      </c>
      <c r="E32" s="56" t="s">
        <v>146</v>
      </c>
      <c r="F32" s="56" t="s">
        <v>22</v>
      </c>
      <c r="G32" s="56" t="s">
        <v>147</v>
      </c>
      <c r="H32" s="56" t="s">
        <v>148</v>
      </c>
    </row>
    <row r="33" spans="1:8">
      <c r="A33" s="84" t="s">
        <v>116</v>
      </c>
      <c r="B33" s="23">
        <v>1</v>
      </c>
      <c r="C33" s="23" t="s">
        <v>149</v>
      </c>
      <c r="D33" s="12">
        <f>SUMIF(Données!$C$2:$C$101,C33,Données!$L$2:$L$101)</f>
        <v>165300000</v>
      </c>
      <c r="E33" s="11">
        <f>SUMIF(Données!$C$2:$C$101,C33,Données!$M$2:$M$101)+SUMIF(Données!$C$2:$C$101,C33,Données!$N$2:$N$101)+SUMIF(Données!$C$2:$C$101,C33,Données!$O$2:$O$101)</f>
        <v>17826934</v>
      </c>
      <c r="F33" s="13">
        <f t="shared" ref="F33:F63" si="1">E33/D33</f>
        <v>0.1078459407138536</v>
      </c>
      <c r="G33" s="13">
        <f>D33/SUM(Données!$L$2:$L$101)</f>
        <v>7.0686606418985304E-2</v>
      </c>
      <c r="H33" s="10" t="s">
        <v>117</v>
      </c>
    </row>
    <row r="34" spans="1:8">
      <c r="A34" s="84" t="s">
        <v>116</v>
      </c>
      <c r="B34" s="23">
        <v>2</v>
      </c>
      <c r="C34" s="23" t="s">
        <v>150</v>
      </c>
      <c r="D34" s="12">
        <f>SUMIF(Données!$C$2:$C$101,C34,Données!$L$2:$L$101)</f>
        <v>106000000</v>
      </c>
      <c r="E34" s="11">
        <f>SUMIF(Données!$C$2:$C$101,C34,Données!$M$2:$M$101)+SUMIF(Données!$C$2:$C$101,C34,Données!$N$2:$N$101)+SUMIF(Données!$C$2:$C$101,C34,Données!$O$2:$O$101)</f>
        <v>15640100</v>
      </c>
      <c r="F34" s="13">
        <f t="shared" si="1"/>
        <v>0.14754811320754718</v>
      </c>
      <c r="G34" s="13">
        <f>D34/SUM(Données!$L$2:$L$101)</f>
        <v>4.532837435216238E-2</v>
      </c>
      <c r="H34" s="10" t="s">
        <v>118</v>
      </c>
    </row>
    <row r="35" spans="1:8">
      <c r="A35" s="84" t="s">
        <v>116</v>
      </c>
      <c r="B35" s="23">
        <v>3</v>
      </c>
      <c r="C35" s="23" t="s">
        <v>151</v>
      </c>
      <c r="D35" s="12">
        <f>SUMIF(Données!$C$2:$C$101,C35,Données!$L$2:$L$101)</f>
        <v>101200000</v>
      </c>
      <c r="E35" s="11">
        <f>SUMIF(Données!$C$2:$C$101,C35,Données!$M$2:$M$101)+SUMIF(Données!$C$2:$C$101,C35,Données!$N$2:$N$101)+SUMIF(Données!$C$2:$C$101,C35,Données!$O$2:$O$101)</f>
        <v>12333300</v>
      </c>
      <c r="F35" s="13">
        <f t="shared" si="1"/>
        <v>0.12187055335968379</v>
      </c>
      <c r="G35" s="13">
        <f>D35/SUM(Données!$L$2:$L$101)</f>
        <v>4.3275768721121065E-2</v>
      </c>
      <c r="H35" s="10" t="s">
        <v>152</v>
      </c>
    </row>
    <row r="36" spans="1:8">
      <c r="A36" s="84" t="s">
        <v>116</v>
      </c>
      <c r="B36" s="23">
        <v>4</v>
      </c>
      <c r="C36" s="23" t="s">
        <v>153</v>
      </c>
      <c r="D36" s="12">
        <f>SUMIF(Données!$C$2:$C$101,C36,Données!$L$2:$L$101)</f>
        <v>84500000</v>
      </c>
      <c r="E36" s="11">
        <f>SUMIF(Données!$C$2:$C$101,C36,Données!$M$2:$M$101)+SUMIF(Données!$C$2:$C$101,C36,Données!$N$2:$N$101)+SUMIF(Données!$C$2:$C$101,C36,Données!$O$2:$O$101)</f>
        <v>12181900</v>
      </c>
      <c r="F36" s="13">
        <f t="shared" si="1"/>
        <v>0.14416449704142012</v>
      </c>
      <c r="G36" s="13">
        <f>D36/SUM(Données!$L$2:$L$101)</f>
        <v>3.6134411629789823E-2</v>
      </c>
      <c r="H36" s="10" t="s">
        <v>154</v>
      </c>
    </row>
    <row r="37" spans="1:8">
      <c r="A37" s="84" t="s">
        <v>116</v>
      </c>
      <c r="B37" s="23">
        <v>5</v>
      </c>
      <c r="C37" s="23" t="s">
        <v>93</v>
      </c>
      <c r="D37" s="12">
        <f>SUMIF(Données!$E$2:$E$101,A37,Données!$L$2:$L$101)-D33-D34-D35-D36</f>
        <v>147437500</v>
      </c>
      <c r="E37" s="11">
        <f>SUMIF(Données!$E$2:$E$101,A37,Données!$M$2:$M$101)+SUMIF(Données!$E$2:$E$101,A37,Données!$N$2:$N$101)+SUMIF(Données!$E$2:$E$101,A37,Données!$O$2:$O$101)-E33-E34-E35-E36</f>
        <v>11962166</v>
      </c>
      <c r="F37" s="13">
        <f t="shared" si="1"/>
        <v>8.1133809241203905E-2</v>
      </c>
      <c r="G37" s="13">
        <f>D37/SUM(Données!$L$2:$L$101)</f>
        <v>6.3048133901386236E-2</v>
      </c>
      <c r="H37" s="10" t="s">
        <v>155</v>
      </c>
    </row>
    <row r="38" spans="1:8">
      <c r="A38" s="83" t="s">
        <v>120</v>
      </c>
      <c r="B38" s="23">
        <v>6</v>
      </c>
      <c r="C38" s="23" t="s">
        <v>156</v>
      </c>
      <c r="D38" s="12">
        <f>SUMIF(Données!$C$2:$C$101,C38,Données!$L$2:$L$101)</f>
        <v>45100000</v>
      </c>
      <c r="E38" s="11">
        <f>SUMIF(Données!$C$2:$C$101,C38,Données!$M$2:$M$101)+SUMIF(Données!$C$2:$C$101,C38,Données!$N$2:$N$101)+SUMIF(Données!$C$2:$C$101,C38,Données!$O$2:$O$101)</f>
        <v>4429000</v>
      </c>
      <c r="F38" s="13">
        <f t="shared" si="1"/>
        <v>9.8203991130820401E-2</v>
      </c>
      <c r="G38" s="13">
        <f>D38/SUM(Données!$L$2:$L$101)</f>
        <v>1.9285940408325694E-2</v>
      </c>
      <c r="H38" s="10" t="s">
        <v>121</v>
      </c>
    </row>
    <row r="39" spans="1:8">
      <c r="A39" s="83" t="s">
        <v>120</v>
      </c>
      <c r="B39" s="23">
        <v>7</v>
      </c>
      <c r="C39" s="23" t="s">
        <v>157</v>
      </c>
      <c r="D39" s="12">
        <f>SUMIF(Données!$C$2:$C$101,C39,Données!$L$2:$L$101)</f>
        <v>13200000</v>
      </c>
      <c r="E39" s="11">
        <f>SUMIF(Données!$C$2:$C$101,C39,Données!$M$2:$M$101)+SUMIF(Données!$C$2:$C$101,C39,Données!$N$2:$N$101)+SUMIF(Données!$C$2:$C$101,C39,Données!$O$2:$O$101)</f>
        <v>2368300</v>
      </c>
      <c r="F39" s="13">
        <f t="shared" si="1"/>
        <v>0.17941666666666667</v>
      </c>
      <c r="G39" s="13">
        <f>D39/SUM(Données!$L$2:$L$101)</f>
        <v>5.6446654853636175E-3</v>
      </c>
      <c r="H39" s="10" t="s">
        <v>158</v>
      </c>
    </row>
    <row r="40" spans="1:8">
      <c r="A40" s="83" t="s">
        <v>120</v>
      </c>
      <c r="B40" s="23">
        <v>8</v>
      </c>
      <c r="C40" s="23" t="s">
        <v>159</v>
      </c>
      <c r="D40" s="12">
        <f>SUMIF(Données!$C$2:$C$101,C40,Données!$L$2:$L$101)</f>
        <v>11400000</v>
      </c>
      <c r="E40" s="11">
        <f>SUMIF(Données!$C$2:$C$101,C40,Données!$M$2:$M$101)+SUMIF(Données!$C$2:$C$101,C40,Données!$N$2:$N$101)+SUMIF(Données!$C$2:$C$101,C40,Données!$O$2:$O$101)</f>
        <v>2235300</v>
      </c>
      <c r="F40" s="13">
        <f t="shared" si="1"/>
        <v>0.19607894736842105</v>
      </c>
      <c r="G40" s="13">
        <f>D40/SUM(Données!$L$2:$L$101)</f>
        <v>4.8749383737231242E-3</v>
      </c>
      <c r="H40" s="10" t="s">
        <v>122</v>
      </c>
    </row>
    <row r="41" spans="1:8">
      <c r="A41" s="83" t="s">
        <v>120</v>
      </c>
      <c r="B41" s="23">
        <v>9</v>
      </c>
      <c r="C41" s="23" t="s">
        <v>93</v>
      </c>
      <c r="D41" s="12">
        <f>SUMIF(Données!$E$2:$E$101,A41,Données!$L$2:$L$101)-D38-D39-D40</f>
        <v>81491300</v>
      </c>
      <c r="E41" s="11">
        <f>SUMIF(Données!$E$2:$E$101,A41,Données!$M$2:$M$101)+SUMIF(Données!$E$2:$E$101,A41,Données!$N$2:$N$101)+SUMIF(Données!$E$2:$E$101,A41,Données!$O$2:$O$101)-E38-E39-E40</f>
        <v>8741855</v>
      </c>
      <c r="F41" s="13">
        <f t="shared" si="1"/>
        <v>0.1072734758188911</v>
      </c>
      <c r="G41" s="13">
        <f>D41/SUM(Données!$L$2:$L$101)</f>
        <v>3.4847812762682742E-2</v>
      </c>
      <c r="H41" s="10" t="s">
        <v>160</v>
      </c>
    </row>
    <row r="42" spans="1:8">
      <c r="A42" s="79" t="s">
        <v>124</v>
      </c>
      <c r="B42" s="23">
        <v>10</v>
      </c>
      <c r="C42" s="23" t="s">
        <v>161</v>
      </c>
      <c r="D42" s="12">
        <f>SUMIF(Données!$C$2:$C$101,C42,Données!$L$2:$L$101)</f>
        <v>79800000</v>
      </c>
      <c r="E42" s="11">
        <f>SUMIF(Données!$C$2:$C$101,C42,Données!$M$2:$M$101)+SUMIF(Données!$C$2:$C$101,C42,Données!$N$2:$N$101)+SUMIF(Données!$C$2:$C$101,C42,Données!$O$2:$O$101)</f>
        <v>6120800</v>
      </c>
      <c r="F42" s="13">
        <f t="shared" si="1"/>
        <v>7.670175438596491E-2</v>
      </c>
      <c r="G42" s="13">
        <f>D42/SUM(Données!$L$2:$L$101)</f>
        <v>3.4124568616061869E-2</v>
      </c>
      <c r="H42" s="10" t="s">
        <v>125</v>
      </c>
    </row>
    <row r="43" spans="1:8">
      <c r="A43" s="79" t="s">
        <v>124</v>
      </c>
      <c r="B43" s="23">
        <v>11</v>
      </c>
      <c r="C43" s="23" t="s">
        <v>162</v>
      </c>
      <c r="D43" s="12">
        <f>SUMIF(Données!$C$2:$C$101,C43,Données!$L$2:$L$101)</f>
        <v>56300000</v>
      </c>
      <c r="E43" s="11">
        <f>SUMIF(Données!$C$2:$C$101,C43,Données!$M$2:$M$101)+SUMIF(Données!$C$2:$C$101,C43,Données!$N$2:$N$101)+SUMIF(Données!$C$2:$C$101,C43,Données!$O$2:$O$101)</f>
        <v>8766600</v>
      </c>
      <c r="F43" s="13">
        <f t="shared" si="1"/>
        <v>0.15571225577264652</v>
      </c>
      <c r="G43" s="13">
        <f>D43/SUM(Données!$L$2:$L$101)</f>
        <v>2.4075353547422098E-2</v>
      </c>
      <c r="H43" s="10" t="s">
        <v>163</v>
      </c>
    </row>
    <row r="44" spans="1:8">
      <c r="A44" s="79" t="s">
        <v>124</v>
      </c>
      <c r="B44" s="23">
        <v>12</v>
      </c>
      <c r="C44" s="23" t="s">
        <v>164</v>
      </c>
      <c r="D44" s="12">
        <f>SUMIF(Données!$C$2:$C$101,C44,Données!$L$2:$L$101)</f>
        <v>33500000</v>
      </c>
      <c r="E44" s="11">
        <f>SUMIF(Données!$C$2:$C$101,C44,Données!$M$2:$M$101)+SUMIF(Données!$C$2:$C$101,C44,Données!$N$2:$N$101)+SUMIF(Données!$C$2:$C$101,C44,Données!$O$2:$O$101)</f>
        <v>5711200</v>
      </c>
      <c r="F44" s="13">
        <f t="shared" si="1"/>
        <v>0.17048358208955225</v>
      </c>
      <c r="G44" s="13">
        <f>D44/SUM(Données!$L$2:$L$101)</f>
        <v>1.4325476799975848E-2</v>
      </c>
      <c r="H44" s="10" t="s">
        <v>126</v>
      </c>
    </row>
    <row r="45" spans="1:8">
      <c r="A45" s="79" t="s">
        <v>124</v>
      </c>
      <c r="B45" s="23">
        <v>13</v>
      </c>
      <c r="C45" s="23" t="s">
        <v>165</v>
      </c>
      <c r="D45" s="12">
        <f>SUMIF(Données!$C$2:$C$101,C45,Données!$L$2:$L$101)</f>
        <v>32200000</v>
      </c>
      <c r="E45" s="11">
        <f>SUMIF(Données!$C$2:$C$101,C45,Données!$M$2:$M$101)+SUMIF(Données!$C$2:$C$101,C45,Données!$N$2:$N$101)+SUMIF(Données!$C$2:$C$101,C45,Données!$O$2:$O$101)</f>
        <v>5308300</v>
      </c>
      <c r="F45" s="13">
        <f t="shared" si="1"/>
        <v>0.16485403726708076</v>
      </c>
      <c r="G45" s="13">
        <f>D45/SUM(Données!$L$2:$L$101)</f>
        <v>1.3769562774902159E-2</v>
      </c>
      <c r="H45" s="10" t="s">
        <v>166</v>
      </c>
    </row>
    <row r="46" spans="1:8">
      <c r="A46" s="79" t="s">
        <v>124</v>
      </c>
      <c r="B46" s="23">
        <v>14</v>
      </c>
      <c r="C46" s="23" t="s">
        <v>167</v>
      </c>
      <c r="D46" s="12">
        <f>SUMIF(Données!$C$2:$C$101,C46,Données!$L$2:$L$101)</f>
        <v>25000000</v>
      </c>
      <c r="E46" s="11">
        <f>SUMIF(Données!$C$2:$C$101,C46,Données!$M$2:$M$101)+SUMIF(Données!$C$2:$C$101,C46,Données!$N$2:$N$101)+SUMIF(Données!$C$2:$C$101,C46,Données!$O$2:$O$101)</f>
        <v>4154400</v>
      </c>
      <c r="F46" s="13">
        <f t="shared" si="1"/>
        <v>0.16617599999999999</v>
      </c>
      <c r="G46" s="13">
        <f>D46/SUM(Données!$L$2:$L$101)</f>
        <v>1.0690654328340184E-2</v>
      </c>
      <c r="H46" s="10" t="s">
        <v>168</v>
      </c>
    </row>
    <row r="47" spans="1:8">
      <c r="A47" s="79" t="s">
        <v>124</v>
      </c>
      <c r="B47" s="23">
        <v>15</v>
      </c>
      <c r="C47" s="23" t="s">
        <v>93</v>
      </c>
      <c r="D47" s="12">
        <f>SUMIF(Données!$E$2:$E$101,A47,Données!$L$2:$L$101)-D42-D43-D44-D45-D46</f>
        <v>57700000</v>
      </c>
      <c r="E47" s="11">
        <f>SUMIF(Données!$E$2:$E$101,A47,Données!$M$2:$M$101)+SUMIF(Données!$E$2:$E$101,A47,Données!$N$2:$N$101)+SUMIF(Données!$E$2:$E$101,A47,Données!$O$2:$O$101)-E42-E43-E44-E45-E46</f>
        <v>6180773</v>
      </c>
      <c r="F47" s="13">
        <f t="shared" si="1"/>
        <v>0.10711911611785095</v>
      </c>
      <c r="G47" s="13">
        <f>D47/SUM(Données!$L$2:$L$101)</f>
        <v>2.4674030189809147E-2</v>
      </c>
      <c r="H47" s="10" t="s">
        <v>169</v>
      </c>
    </row>
    <row r="48" spans="1:8">
      <c r="A48" s="82" t="s">
        <v>128</v>
      </c>
      <c r="B48" s="23">
        <v>16</v>
      </c>
      <c r="C48" s="23" t="s">
        <v>170</v>
      </c>
      <c r="D48" s="12">
        <f>SUMIF(Données!$C$2:$C$101,C48,Données!$L$2:$L$101)</f>
        <v>73900000</v>
      </c>
      <c r="E48" s="11">
        <f>SUMIF(Données!$C$2:$C$101,C48,Données!$M$2:$M$101)+SUMIF(Données!$C$2:$C$101,C48,Données!$N$2:$N$101)+SUMIF(Données!$C$2:$C$101,C48,Données!$O$2:$O$101)</f>
        <v>18523600</v>
      </c>
      <c r="F48" s="13">
        <f t="shared" si="1"/>
        <v>0.2506576454668471</v>
      </c>
      <c r="G48" s="13">
        <f>D48/SUM(Données!$L$2:$L$101)</f>
        <v>3.1601574194573587E-2</v>
      </c>
      <c r="H48" s="10" t="s">
        <v>129</v>
      </c>
    </row>
    <row r="49" spans="1:8">
      <c r="A49" s="82" t="s">
        <v>128</v>
      </c>
      <c r="B49" s="23">
        <v>17</v>
      </c>
      <c r="C49" s="23" t="s">
        <v>171</v>
      </c>
      <c r="D49" s="12">
        <f>SUMIF(Données!$C$2:$C$101,C49,Données!$L$2:$L$101)</f>
        <v>24900000</v>
      </c>
      <c r="E49" s="11">
        <f>SUMIF(Données!$C$2:$C$101,C49,Données!$M$2:$M$101)+SUMIF(Données!$C$2:$C$101,C49,Données!$N$2:$N$101)+SUMIF(Données!$C$2:$C$101,C49,Données!$O$2:$O$101)</f>
        <v>4030500</v>
      </c>
      <c r="F49" s="13">
        <f t="shared" si="1"/>
        <v>0.16186746987951808</v>
      </c>
      <c r="G49" s="13">
        <f>D49/SUM(Données!$L$2:$L$101)</f>
        <v>1.0647891711026824E-2</v>
      </c>
      <c r="H49" s="10" t="s">
        <v>172</v>
      </c>
    </row>
    <row r="50" spans="1:8">
      <c r="A50" s="82" t="s">
        <v>128</v>
      </c>
      <c r="B50" s="23">
        <v>18</v>
      </c>
      <c r="C50" s="23" t="s">
        <v>93</v>
      </c>
      <c r="D50" s="12">
        <f>SUMIF(Données!$E$2:$E$101,A50,Données!$L$2:$L$101)-D48-D49</f>
        <v>24600000</v>
      </c>
      <c r="E50" s="11">
        <f>SUMIF(Données!$E$2:$E$101,A50,Données!$M$2:$M$101)+SUMIF(Données!$E$2:$E$101,A50,Données!$N$2:$N$101)+SUMIF(Données!$E$2:$E$101,A50,Données!$O$2:$O$101)-E48-E49</f>
        <v>2938324</v>
      </c>
      <c r="F50" s="13">
        <f t="shared" si="1"/>
        <v>0.1194440650406504</v>
      </c>
      <c r="G50" s="13">
        <f>D50/SUM(Données!$L$2:$L$101)</f>
        <v>1.0519603859086742E-2</v>
      </c>
      <c r="H50" s="10" t="s">
        <v>173</v>
      </c>
    </row>
    <row r="51" spans="1:8">
      <c r="A51" s="81" t="s">
        <v>131</v>
      </c>
      <c r="B51" s="23">
        <v>19</v>
      </c>
      <c r="C51" s="23" t="s">
        <v>174</v>
      </c>
      <c r="D51" s="12">
        <f>SUMIF(Données!$C$2:$C$101,C51,Données!$L$2:$L$101)</f>
        <v>43200000</v>
      </c>
      <c r="E51" s="11">
        <f>SUMIF(Données!$C$2:$C$101,C51,Données!$M$2:$M$101)+SUMIF(Données!$C$2:$C$101,C51,Données!$N$2:$N$101)+SUMIF(Données!$C$2:$C$101,C51,Données!$O$2:$O$101)</f>
        <v>4771300</v>
      </c>
      <c r="F51" s="13">
        <f t="shared" si="1"/>
        <v>0.11044675925925926</v>
      </c>
      <c r="G51" s="13">
        <f>D51/SUM(Données!$L$2:$L$101)</f>
        <v>1.8473450679371839E-2</v>
      </c>
      <c r="H51" s="10" t="s">
        <v>132</v>
      </c>
    </row>
    <row r="52" spans="1:8">
      <c r="A52" s="81" t="s">
        <v>131</v>
      </c>
      <c r="B52" s="23">
        <v>20</v>
      </c>
      <c r="C52" s="23" t="s">
        <v>175</v>
      </c>
      <c r="D52" s="12">
        <f>SUMIF(Données!$C$2:$C$101,C52,Données!$L$2:$L$101)</f>
        <v>26700000</v>
      </c>
      <c r="E52" s="11">
        <f>SUMIF(Données!$C$2:$C$101,C52,Données!$M$2:$M$101)+SUMIF(Données!$C$2:$C$101,C52,Données!$N$2:$N$101)+SUMIF(Données!$C$2:$C$101,C52,Données!$O$2:$O$101)</f>
        <v>9636500</v>
      </c>
      <c r="F52" s="13">
        <f t="shared" si="1"/>
        <v>0.36091760299625469</v>
      </c>
      <c r="G52" s="13">
        <f>D52/SUM(Données!$L$2:$L$101)</f>
        <v>1.1417618822667317E-2</v>
      </c>
      <c r="H52" s="10" t="s">
        <v>133</v>
      </c>
    </row>
    <row r="53" spans="1:8">
      <c r="A53" s="81" t="s">
        <v>131</v>
      </c>
      <c r="B53" s="23">
        <v>21</v>
      </c>
      <c r="C53" s="23" t="s">
        <v>93</v>
      </c>
      <c r="D53" s="12">
        <f>SUMIF(Données!$E$2:$E$101,A53,Données!$L$2:$L$101)-D51-D52</f>
        <v>30200000</v>
      </c>
      <c r="E53" s="11">
        <f>SUMIF(Données!$E$2:$E$101,A53,Données!$M$2:$M$101)+SUMIF(Données!$E$2:$E$101,A53,Données!$N$2:$N$101)+SUMIF(Données!$E$2:$E$101,A53,Données!$O$2:$O$101)-E51-E52</f>
        <v>3038004</v>
      </c>
      <c r="F53" s="13">
        <f t="shared" si="1"/>
        <v>0.10059615894039735</v>
      </c>
      <c r="G53" s="13">
        <f>D53/SUM(Données!$L$2:$L$101)</f>
        <v>1.2914310428634944E-2</v>
      </c>
      <c r="H53" s="10" t="s">
        <v>176</v>
      </c>
    </row>
    <row r="54" spans="1:8">
      <c r="A54" s="80" t="s">
        <v>135</v>
      </c>
      <c r="B54" s="23">
        <v>22</v>
      </c>
      <c r="C54" s="23" t="s">
        <v>177</v>
      </c>
      <c r="D54" s="12">
        <f>SUMIF(Données!$C$2:$C$101,C54,Données!$L$2:$L$101)</f>
        <v>222300000</v>
      </c>
      <c r="E54" s="11">
        <f>SUMIF(Données!$C$2:$C$101,C54,Données!$M$2:$M$101)+SUMIF(Données!$C$2:$C$101,C54,Données!$N$2:$N$101)+SUMIF(Données!$C$2:$C$101,C54,Données!$O$2:$O$101)</f>
        <v>31600000</v>
      </c>
      <c r="F54" s="13">
        <f t="shared" si="1"/>
        <v>0.14215024741340532</v>
      </c>
      <c r="G54" s="13">
        <f>D54/SUM(Données!$L$2:$L$101)</f>
        <v>9.5061298287600918E-2</v>
      </c>
      <c r="H54" s="10" t="s">
        <v>136</v>
      </c>
    </row>
    <row r="55" spans="1:8">
      <c r="A55" s="80" t="s">
        <v>135</v>
      </c>
      <c r="B55" s="23">
        <v>23</v>
      </c>
      <c r="C55" s="23" t="s">
        <v>178</v>
      </c>
      <c r="D55" s="12">
        <f>SUMIF(Données!$C$2:$C$101,C55,Données!$L$2:$L$101)</f>
        <v>200200000</v>
      </c>
      <c r="E55" s="11">
        <f>SUMIF(Données!$C$2:$C$101,C55,Données!$M$2:$M$101)+SUMIF(Données!$C$2:$C$101,C55,Données!$N$2:$N$101)+SUMIF(Données!$C$2:$C$101,C55,Données!$O$2:$O$101)</f>
        <v>6298400</v>
      </c>
      <c r="F55" s="13">
        <f t="shared" si="1"/>
        <v>3.1460539460539463E-2</v>
      </c>
      <c r="G55" s="13">
        <f>D55/SUM(Données!$L$2:$L$101)</f>
        <v>8.5610759861348196E-2</v>
      </c>
      <c r="H55" s="10" t="s">
        <v>179</v>
      </c>
    </row>
    <row r="56" spans="1:8">
      <c r="A56" s="80" t="s">
        <v>135</v>
      </c>
      <c r="B56" s="23">
        <v>24</v>
      </c>
      <c r="C56" s="23" t="s">
        <v>180</v>
      </c>
      <c r="D56" s="12">
        <f>SUMIF(Données!$C$2:$C$101,C56,Données!$L$2:$L$101)</f>
        <v>141219800</v>
      </c>
      <c r="E56" s="11">
        <f>SUMIF(Données!$C$2:$C$101,C56,Données!$M$2:$M$101)+SUMIF(Données!$C$2:$C$101,C56,Données!$N$2:$N$101)+SUMIF(Données!$C$2:$C$101,C56,Données!$O$2:$O$101)</f>
        <v>14414366</v>
      </c>
      <c r="F56" s="13">
        <f t="shared" si="1"/>
        <v>0.10207043204989669</v>
      </c>
      <c r="G56" s="13">
        <f>D56/SUM(Données!$L$2:$L$101)</f>
        <v>6.0389282644693412E-2</v>
      </c>
      <c r="H56" s="10" t="s">
        <v>181</v>
      </c>
    </row>
    <row r="57" spans="1:8">
      <c r="A57" s="80" t="s">
        <v>135</v>
      </c>
      <c r="B57" s="23">
        <v>25</v>
      </c>
      <c r="C57" s="23" t="s">
        <v>182</v>
      </c>
      <c r="D57" s="12">
        <f>SUMIF(Données!$C$2:$C$101,C57,Données!$L$2:$L$101)</f>
        <v>109300000</v>
      </c>
      <c r="E57" s="11">
        <f>SUMIF(Données!$C$2:$C$101,C57,Données!$M$2:$M$101)+SUMIF(Données!$C$2:$C$101,C57,Données!$N$2:$N$101)+SUMIF(Données!$C$2:$C$101,C57,Données!$O$2:$O$101)</f>
        <v>13120745</v>
      </c>
      <c r="F57" s="13">
        <f t="shared" si="1"/>
        <v>0.12004341262580055</v>
      </c>
      <c r="G57" s="13">
        <f>D57/SUM(Données!$L$2:$L$101)</f>
        <v>4.6739540723503288E-2</v>
      </c>
      <c r="H57" s="10" t="s">
        <v>183</v>
      </c>
    </row>
    <row r="58" spans="1:8">
      <c r="A58" s="80" t="s">
        <v>135</v>
      </c>
      <c r="B58" s="23">
        <v>26</v>
      </c>
      <c r="C58" s="23" t="s">
        <v>184</v>
      </c>
      <c r="D58" s="12">
        <f>SUMIF(Données!$C$2:$C$101,C58,Données!$L$2:$L$101)</f>
        <v>54300000</v>
      </c>
      <c r="E58" s="11">
        <f>SUMIF(Données!$C$2:$C$101,C58,Données!$M$2:$M$101)+SUMIF(Données!$C$2:$C$101,C58,Données!$N$2:$N$101)+SUMIF(Données!$C$2:$C$101,C58,Données!$O$2:$O$101)</f>
        <v>4235100</v>
      </c>
      <c r="F58" s="13">
        <f t="shared" si="1"/>
        <v>7.799447513812155E-2</v>
      </c>
      <c r="G58" s="13">
        <f>D58/SUM(Données!$L$2:$L$101)</f>
        <v>2.3220101201154881E-2</v>
      </c>
      <c r="H58" s="10" t="s">
        <v>185</v>
      </c>
    </row>
    <row r="59" spans="1:8">
      <c r="A59" s="80" t="s">
        <v>135</v>
      </c>
      <c r="B59" s="23">
        <v>27</v>
      </c>
      <c r="C59" s="23" t="s">
        <v>186</v>
      </c>
      <c r="D59" s="12">
        <f>SUMIF(Données!$C$2:$C$101,C59,Données!$L$2:$L$101)</f>
        <v>50500000</v>
      </c>
      <c r="E59" s="11">
        <f>SUMIF(Données!$C$2:$C$101,C59,Données!$M$2:$M$101)+SUMIF(Données!$C$2:$C$101,C59,Données!$N$2:$N$101)+SUMIF(Données!$C$2:$C$101,C59,Données!$O$2:$O$101)</f>
        <v>10026200</v>
      </c>
      <c r="F59" s="13">
        <f t="shared" si="1"/>
        <v>0.19853861386138613</v>
      </c>
      <c r="G59" s="13">
        <f>D59/SUM(Données!$L$2:$L$101)</f>
        <v>2.1595121743247174E-2</v>
      </c>
      <c r="H59" s="10" t="s">
        <v>187</v>
      </c>
    </row>
    <row r="60" spans="1:8">
      <c r="A60" s="80" t="s">
        <v>135</v>
      </c>
      <c r="B60" s="23">
        <v>28</v>
      </c>
      <c r="C60" s="23" t="s">
        <v>188</v>
      </c>
      <c r="D60" s="12">
        <f>SUMIF(Données!$C$2:$C$101,C60,Données!$L$2:$L$101)</f>
        <v>14100000</v>
      </c>
      <c r="E60" s="11">
        <f>SUMIF(Données!$C$2:$C$101,C60,Données!$M$2:$M$101)+SUMIF(Données!$C$2:$C$101,C60,Données!$N$2:$N$101)+SUMIF(Données!$C$2:$C$101,C60,Données!$O$2:$O$101)</f>
        <v>3355900</v>
      </c>
      <c r="F60" s="13">
        <f t="shared" si="1"/>
        <v>0.23800709219858157</v>
      </c>
      <c r="G60" s="13">
        <f>D60/SUM(Données!$L$2:$L$101)</f>
        <v>6.0295290411838641E-3</v>
      </c>
      <c r="H60" s="10" t="s">
        <v>137</v>
      </c>
    </row>
    <row r="61" spans="1:8">
      <c r="A61" s="80" t="s">
        <v>135</v>
      </c>
      <c r="B61" s="23">
        <v>29</v>
      </c>
      <c r="C61" s="23" t="s">
        <v>189</v>
      </c>
      <c r="D61" s="12">
        <f>SUMIF(Données!$C$2:$C$101,C61,Données!$L$2:$L$101)</f>
        <v>10500000</v>
      </c>
      <c r="E61" s="11">
        <f>SUMIF(Données!$C$2:$C$101,C61,Données!$M$2:$M$101)+SUMIF(Données!$C$2:$C$101,C61,Données!$N$2:$N$101)+SUMIF(Données!$C$2:$C$101,C61,Données!$O$2:$O$101)</f>
        <v>1954600</v>
      </c>
      <c r="F61" s="13">
        <f t="shared" si="1"/>
        <v>0.18615238095238096</v>
      </c>
      <c r="G61" s="13">
        <f>D61/SUM(Données!$L$2:$L$101)</f>
        <v>4.4900748179028775E-3</v>
      </c>
      <c r="H61" s="10" t="s">
        <v>190</v>
      </c>
    </row>
    <row r="62" spans="1:8">
      <c r="A62" s="80" t="s">
        <v>135</v>
      </c>
      <c r="B62" s="23">
        <v>30</v>
      </c>
      <c r="C62" s="23" t="s">
        <v>93</v>
      </c>
      <c r="D62" s="12">
        <f>SUMIF(Données!$E$2:$E$101,A62,Données!$L$2:$L$101)-D54-D55-D56-D57-D58-D59-D60-D61</f>
        <v>272442500</v>
      </c>
      <c r="E62" s="11">
        <f>SUMIF(Données!$E$2:$E$101,A62,Données!$M$2:$M$101)+SUMIF(Données!$E$2:$E$101,A62,Données!$N$2:$N$101)+SUMIF(Données!$E$2:$E$101,A62,Données!$O$2:$O$101)-E54-E55-E56-E57-E58-E59-E60-E61</f>
        <v>26520267</v>
      </c>
      <c r="F62" s="13">
        <f t="shared" si="1"/>
        <v>9.7342620920010642E-2</v>
      </c>
      <c r="G62" s="13">
        <f>D62/SUM(Données!$L$2:$L$101)</f>
        <v>0.11650354367395284</v>
      </c>
      <c r="H62" s="10" t="s">
        <v>191</v>
      </c>
    </row>
    <row r="63" spans="1:8">
      <c r="A63" s="24" t="s">
        <v>192</v>
      </c>
      <c r="B63" s="29"/>
      <c r="C63" s="29"/>
      <c r="D63" s="26">
        <f>SUM(D33:D62)</f>
        <v>2338491100</v>
      </c>
      <c r="E63" s="25">
        <f>SUM(E33:E62)</f>
        <v>278424734</v>
      </c>
      <c r="F63" s="28">
        <f t="shared" si="1"/>
        <v>0.11906170350616259</v>
      </c>
      <c r="G63" s="27">
        <f>SUM(G33:G62)</f>
        <v>1</v>
      </c>
      <c r="H63" s="29"/>
    </row>
  </sheetData>
  <mergeCells count="5">
    <mergeCell ref="A1:L1"/>
    <mergeCell ref="A2:L2"/>
    <mergeCell ref="A4:L4"/>
    <mergeCell ref="A13:L13"/>
    <mergeCell ref="A31:L31"/>
  </mergeCells>
  <pageMargins left="0.75" right="0.75" top="1" bottom="1" header="0.511811023622047" footer="0.511811023622047"/>
  <pageSetup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57D69"/>
    <pageSetUpPr fitToPage="1"/>
  </sheetPr>
  <dimension ref="A1:BM41"/>
  <sheetViews>
    <sheetView showGridLines="0" topLeftCell="A4" zoomScale="83" zoomScaleNormal="92" workbookViewId="0">
      <selection activeCell="R58" sqref="R58"/>
    </sheetView>
  </sheetViews>
  <sheetFormatPr baseColWidth="10" defaultColWidth="8.6640625" defaultRowHeight="15"/>
  <cols>
    <col min="1" max="65" width="4.1640625" customWidth="1"/>
  </cols>
  <sheetData>
    <row r="1" spans="1:65" ht="31.5" customHeight="1">
      <c r="A1" s="43" t="s">
        <v>193</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row>
    <row r="2" spans="1:65" ht="30" customHeight="1">
      <c r="A2" s="44" t="s">
        <v>194</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row>
    <row r="3" spans="1:65" ht="16" thickBot="1"/>
    <row r="4" spans="1:65" ht="26" customHeight="1" thickBot="1">
      <c r="B4" s="73" t="s">
        <v>195</v>
      </c>
      <c r="C4" s="73"/>
      <c r="D4" s="73"/>
      <c r="E4" s="73"/>
      <c r="F4" s="73"/>
      <c r="G4" s="73"/>
      <c r="H4" s="73"/>
      <c r="I4" s="73"/>
      <c r="J4" s="73"/>
      <c r="K4" s="73"/>
      <c r="L4" s="73"/>
      <c r="M4" s="73"/>
      <c r="N4" s="73"/>
      <c r="O4" s="73"/>
      <c r="P4" s="73"/>
      <c r="Q4" s="73"/>
      <c r="R4" s="73" t="s">
        <v>196</v>
      </c>
      <c r="S4" s="73"/>
      <c r="T4" s="73"/>
      <c r="U4" s="73"/>
      <c r="V4" s="73"/>
      <c r="W4" s="73"/>
      <c r="X4" s="73"/>
      <c r="Y4" s="73"/>
      <c r="Z4" s="73"/>
      <c r="AA4" s="73"/>
      <c r="AB4" s="73"/>
      <c r="AC4" s="73"/>
      <c r="AD4" s="73"/>
      <c r="AE4" s="85" t="s">
        <v>197</v>
      </c>
      <c r="AF4" s="85"/>
      <c r="AG4" s="85"/>
      <c r="AH4" s="85"/>
      <c r="AI4" s="85"/>
      <c r="AJ4" s="85"/>
      <c r="AK4" s="85"/>
      <c r="AL4" s="85"/>
      <c r="AM4" s="85"/>
      <c r="AN4" s="85"/>
      <c r="AO4" s="85"/>
      <c r="AP4" s="85"/>
      <c r="AQ4" s="85"/>
      <c r="AR4" s="85"/>
      <c r="AS4" s="85"/>
      <c r="AT4" s="85"/>
      <c r="AU4" s="85"/>
      <c r="AV4" s="77" t="s">
        <v>198</v>
      </c>
      <c r="AW4" s="77"/>
      <c r="AX4" s="77"/>
      <c r="AY4" s="77"/>
      <c r="AZ4" s="77"/>
      <c r="BA4" s="77"/>
      <c r="BB4" s="77"/>
      <c r="BC4" s="77"/>
      <c r="BD4" s="77"/>
      <c r="BE4" s="77" t="s">
        <v>199</v>
      </c>
      <c r="BF4" s="77"/>
      <c r="BG4" s="77"/>
      <c r="BH4" s="77"/>
      <c r="BI4" s="77"/>
      <c r="BJ4" s="77"/>
      <c r="BK4" s="77"/>
      <c r="BL4" s="77"/>
      <c r="BM4" s="77"/>
    </row>
    <row r="5" spans="1:65" ht="26" customHeight="1" thickBot="1">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85"/>
      <c r="AF5" s="85"/>
      <c r="AG5" s="85"/>
      <c r="AH5" s="85"/>
      <c r="AI5" s="85"/>
      <c r="AJ5" s="85"/>
      <c r="AK5" s="85"/>
      <c r="AL5" s="85"/>
      <c r="AM5" s="85"/>
      <c r="AN5" s="85"/>
      <c r="AO5" s="85"/>
      <c r="AP5" s="85"/>
      <c r="AQ5" s="85"/>
      <c r="AR5" s="85"/>
      <c r="AS5" s="85"/>
      <c r="AT5" s="85"/>
      <c r="AU5" s="85"/>
      <c r="AV5" s="77"/>
      <c r="AW5" s="77"/>
      <c r="AX5" s="77"/>
      <c r="AY5" s="77"/>
      <c r="AZ5" s="77"/>
      <c r="BA5" s="77"/>
      <c r="BB5" s="77"/>
      <c r="BC5" s="77"/>
      <c r="BD5" s="77"/>
      <c r="BE5" s="77"/>
      <c r="BF5" s="77"/>
      <c r="BG5" s="77"/>
      <c r="BH5" s="77"/>
      <c r="BI5" s="77"/>
      <c r="BJ5" s="77"/>
      <c r="BK5" s="77"/>
      <c r="BL5" s="77"/>
      <c r="BM5" s="77"/>
    </row>
    <row r="6" spans="1:65" ht="26" customHeight="1" thickBot="1">
      <c r="B6" s="73"/>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85"/>
      <c r="AF6" s="85"/>
      <c r="AG6" s="85"/>
      <c r="AH6" s="85"/>
      <c r="AI6" s="85"/>
      <c r="AJ6" s="85"/>
      <c r="AK6" s="85"/>
      <c r="AL6" s="85"/>
      <c r="AM6" s="85"/>
      <c r="AN6" s="85"/>
      <c r="AO6" s="85"/>
      <c r="AP6" s="85"/>
      <c r="AQ6" s="85"/>
      <c r="AR6" s="85"/>
      <c r="AS6" s="85"/>
      <c r="AT6" s="85"/>
      <c r="AU6" s="85"/>
      <c r="AV6" s="77"/>
      <c r="AW6" s="77"/>
      <c r="AX6" s="77"/>
      <c r="AY6" s="77"/>
      <c r="AZ6" s="77"/>
      <c r="BA6" s="77"/>
      <c r="BB6" s="77"/>
      <c r="BC6" s="77"/>
      <c r="BD6" s="77"/>
      <c r="BE6" s="77"/>
      <c r="BF6" s="77"/>
      <c r="BG6" s="77"/>
      <c r="BH6" s="77"/>
      <c r="BI6" s="77"/>
      <c r="BJ6" s="77"/>
      <c r="BK6" s="77"/>
      <c r="BL6" s="77"/>
      <c r="BM6" s="77"/>
    </row>
    <row r="7" spans="1:65" ht="26" customHeight="1" thickBot="1">
      <c r="B7" s="73"/>
      <c r="C7" s="73"/>
      <c r="D7" s="73"/>
      <c r="E7" s="73"/>
      <c r="F7" s="73"/>
      <c r="G7" s="73"/>
      <c r="H7" s="73"/>
      <c r="I7" s="73"/>
      <c r="J7" s="73"/>
      <c r="K7" s="73"/>
      <c r="L7" s="73"/>
      <c r="M7" s="73"/>
      <c r="N7" s="73"/>
      <c r="O7" s="73"/>
      <c r="P7" s="73"/>
      <c r="Q7" s="73"/>
      <c r="R7" s="73"/>
      <c r="S7" s="73"/>
      <c r="T7" s="73"/>
      <c r="U7" s="73"/>
      <c r="V7" s="73"/>
      <c r="W7" s="73"/>
      <c r="X7" s="73"/>
      <c r="Y7" s="73"/>
      <c r="Z7" s="73"/>
      <c r="AA7" s="73"/>
      <c r="AB7" s="73"/>
      <c r="AC7" s="73"/>
      <c r="AD7" s="73"/>
      <c r="AE7" s="85"/>
      <c r="AF7" s="85"/>
      <c r="AG7" s="85"/>
      <c r="AH7" s="85"/>
      <c r="AI7" s="85"/>
      <c r="AJ7" s="85"/>
      <c r="AK7" s="85"/>
      <c r="AL7" s="85"/>
      <c r="AM7" s="85"/>
      <c r="AN7" s="85"/>
      <c r="AO7" s="85"/>
      <c r="AP7" s="85"/>
      <c r="AQ7" s="85"/>
      <c r="AR7" s="85"/>
      <c r="AS7" s="85"/>
      <c r="AT7" s="85"/>
      <c r="AU7" s="85"/>
      <c r="AV7" s="77"/>
      <c r="AW7" s="77"/>
      <c r="AX7" s="77"/>
      <c r="AY7" s="77"/>
      <c r="AZ7" s="77"/>
      <c r="BA7" s="77"/>
      <c r="BB7" s="77"/>
      <c r="BC7" s="77"/>
      <c r="BD7" s="77"/>
      <c r="BE7" s="77"/>
      <c r="BF7" s="77"/>
      <c r="BG7" s="77"/>
      <c r="BH7" s="77"/>
      <c r="BI7" s="77"/>
      <c r="BJ7" s="77"/>
      <c r="BK7" s="77"/>
      <c r="BL7" s="77"/>
      <c r="BM7" s="77"/>
    </row>
    <row r="8" spans="1:65" ht="26" customHeight="1" thickBot="1">
      <c r="B8" s="73"/>
      <c r="C8" s="73"/>
      <c r="D8" s="73"/>
      <c r="E8" s="73"/>
      <c r="F8" s="73"/>
      <c r="G8" s="73"/>
      <c r="H8" s="73"/>
      <c r="I8" s="73"/>
      <c r="J8" s="73"/>
      <c r="K8" s="73"/>
      <c r="L8" s="73"/>
      <c r="M8" s="73"/>
      <c r="N8" s="73"/>
      <c r="O8" s="73"/>
      <c r="P8" s="73"/>
      <c r="Q8" s="73"/>
      <c r="R8" s="73"/>
      <c r="S8" s="73"/>
      <c r="T8" s="73"/>
      <c r="U8" s="73"/>
      <c r="V8" s="73"/>
      <c r="W8" s="73"/>
      <c r="X8" s="73"/>
      <c r="Y8" s="73"/>
      <c r="Z8" s="73"/>
      <c r="AA8" s="73"/>
      <c r="AB8" s="73"/>
      <c r="AC8" s="73"/>
      <c r="AD8" s="73"/>
      <c r="AE8" s="85"/>
      <c r="AF8" s="85"/>
      <c r="AG8" s="85"/>
      <c r="AH8" s="85"/>
      <c r="AI8" s="85"/>
      <c r="AJ8" s="85"/>
      <c r="AK8" s="85"/>
      <c r="AL8" s="85"/>
      <c r="AM8" s="85"/>
      <c r="AN8" s="85"/>
      <c r="AO8" s="85"/>
      <c r="AP8" s="85"/>
      <c r="AQ8" s="85"/>
      <c r="AR8" s="85"/>
      <c r="AS8" s="85"/>
      <c r="AT8" s="85"/>
      <c r="AU8" s="85"/>
      <c r="AV8" s="77"/>
      <c r="AW8" s="77"/>
      <c r="AX8" s="77"/>
      <c r="AY8" s="77"/>
      <c r="AZ8" s="77"/>
      <c r="BA8" s="77"/>
      <c r="BB8" s="77"/>
      <c r="BC8" s="77"/>
      <c r="BD8" s="77"/>
      <c r="BE8" s="77"/>
      <c r="BF8" s="77"/>
      <c r="BG8" s="77"/>
      <c r="BH8" s="77"/>
      <c r="BI8" s="77"/>
      <c r="BJ8" s="77"/>
      <c r="BK8" s="77"/>
      <c r="BL8" s="77"/>
      <c r="BM8" s="77"/>
    </row>
    <row r="9" spans="1:65" ht="26" customHeight="1" thickBot="1">
      <c r="B9" s="73"/>
      <c r="C9" s="73"/>
      <c r="D9" s="73"/>
      <c r="E9" s="73"/>
      <c r="F9" s="73"/>
      <c r="G9" s="73"/>
      <c r="H9" s="73"/>
      <c r="I9" s="73"/>
      <c r="J9" s="73"/>
      <c r="K9" s="73"/>
      <c r="L9" s="73"/>
      <c r="M9" s="73"/>
      <c r="N9" s="73"/>
      <c r="O9" s="73"/>
      <c r="P9" s="73"/>
      <c r="Q9" s="73"/>
      <c r="R9" s="73"/>
      <c r="S9" s="73"/>
      <c r="T9" s="73"/>
      <c r="U9" s="73"/>
      <c r="V9" s="73"/>
      <c r="W9" s="73"/>
      <c r="X9" s="73"/>
      <c r="Y9" s="73"/>
      <c r="Z9" s="73"/>
      <c r="AA9" s="73"/>
      <c r="AB9" s="73"/>
      <c r="AC9" s="73"/>
      <c r="AD9" s="73"/>
      <c r="AE9" s="85"/>
      <c r="AF9" s="85"/>
      <c r="AG9" s="85"/>
      <c r="AH9" s="85"/>
      <c r="AI9" s="85"/>
      <c r="AJ9" s="85"/>
      <c r="AK9" s="85"/>
      <c r="AL9" s="85"/>
      <c r="AM9" s="85"/>
      <c r="AN9" s="85"/>
      <c r="AO9" s="85"/>
      <c r="AP9" s="85"/>
      <c r="AQ9" s="85"/>
      <c r="AR9" s="85"/>
      <c r="AS9" s="85"/>
      <c r="AT9" s="85"/>
      <c r="AU9" s="85"/>
      <c r="AV9" s="77"/>
      <c r="AW9" s="77"/>
      <c r="AX9" s="77"/>
      <c r="AY9" s="77"/>
      <c r="AZ9" s="77"/>
      <c r="BA9" s="77"/>
      <c r="BB9" s="77"/>
      <c r="BC9" s="77"/>
      <c r="BD9" s="77"/>
      <c r="BE9" s="77" t="s">
        <v>200</v>
      </c>
      <c r="BF9" s="77"/>
      <c r="BG9" s="77"/>
      <c r="BH9" s="77"/>
      <c r="BI9" s="77"/>
      <c r="BJ9" s="77"/>
      <c r="BK9" s="77" t="s">
        <v>201</v>
      </c>
      <c r="BL9" s="77"/>
      <c r="BM9" s="77"/>
    </row>
    <row r="10" spans="1:65" ht="26" customHeight="1" thickBot="1">
      <c r="B10" s="73"/>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85"/>
      <c r="AF10" s="85"/>
      <c r="AG10" s="85"/>
      <c r="AH10" s="85"/>
      <c r="AI10" s="85"/>
      <c r="AJ10" s="85"/>
      <c r="AK10" s="85"/>
      <c r="AL10" s="85"/>
      <c r="AM10" s="85"/>
      <c r="AN10" s="85"/>
      <c r="AO10" s="85"/>
      <c r="AP10" s="85"/>
      <c r="AQ10" s="85"/>
      <c r="AR10" s="85"/>
      <c r="AS10" s="85"/>
      <c r="AT10" s="85"/>
      <c r="AU10" s="85"/>
      <c r="AV10" s="77"/>
      <c r="AW10" s="77"/>
      <c r="AX10" s="77"/>
      <c r="AY10" s="77"/>
      <c r="AZ10" s="77"/>
      <c r="BA10" s="77"/>
      <c r="BB10" s="77"/>
      <c r="BC10" s="77"/>
      <c r="BD10" s="77"/>
      <c r="BE10" s="77"/>
      <c r="BF10" s="77"/>
      <c r="BG10" s="77"/>
      <c r="BH10" s="77"/>
      <c r="BI10" s="77"/>
      <c r="BJ10" s="77"/>
      <c r="BK10" s="77"/>
      <c r="BL10" s="77"/>
      <c r="BM10" s="77"/>
    </row>
    <row r="11" spans="1:65" ht="26" customHeight="1" thickBot="1">
      <c r="B11" s="73"/>
      <c r="C11" s="73"/>
      <c r="D11" s="73"/>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85"/>
      <c r="AF11" s="85"/>
      <c r="AG11" s="85"/>
      <c r="AH11" s="85"/>
      <c r="AI11" s="85"/>
      <c r="AJ11" s="85"/>
      <c r="AK11" s="85"/>
      <c r="AL11" s="85"/>
      <c r="AM11" s="85"/>
      <c r="AN11" s="85"/>
      <c r="AO11" s="85"/>
      <c r="AP11" s="85"/>
      <c r="AQ11" s="85"/>
      <c r="AR11" s="85"/>
      <c r="AS11" s="85"/>
      <c r="AT11" s="85"/>
      <c r="AU11" s="85"/>
      <c r="AV11" s="77"/>
      <c r="AW11" s="77"/>
      <c r="AX11" s="77"/>
      <c r="AY11" s="77"/>
      <c r="AZ11" s="77"/>
      <c r="BA11" s="77"/>
      <c r="BB11" s="77"/>
      <c r="BC11" s="77"/>
      <c r="BD11" s="77"/>
      <c r="BE11" s="77"/>
      <c r="BF11" s="77"/>
      <c r="BG11" s="77"/>
      <c r="BH11" s="77"/>
      <c r="BI11" s="77"/>
      <c r="BJ11" s="77"/>
      <c r="BK11" s="77"/>
      <c r="BL11" s="77"/>
      <c r="BM11" s="77"/>
    </row>
    <row r="12" spans="1:65" ht="26" customHeight="1" thickBot="1">
      <c r="B12" s="73"/>
      <c r="C12" s="73"/>
      <c r="D12" s="73"/>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85"/>
      <c r="AF12" s="85"/>
      <c r="AG12" s="85"/>
      <c r="AH12" s="85"/>
      <c r="AI12" s="85"/>
      <c r="AJ12" s="85"/>
      <c r="AK12" s="85"/>
      <c r="AL12" s="85"/>
      <c r="AM12" s="85"/>
      <c r="AN12" s="85"/>
      <c r="AO12" s="85"/>
      <c r="AP12" s="85"/>
      <c r="AQ12" s="85"/>
      <c r="AR12" s="85"/>
      <c r="AS12" s="85"/>
      <c r="AT12" s="85"/>
      <c r="AU12" s="85"/>
      <c r="AV12" s="77" t="s">
        <v>202</v>
      </c>
      <c r="AW12" s="77"/>
      <c r="AX12" s="77"/>
      <c r="AY12" s="77"/>
      <c r="AZ12" s="77"/>
      <c r="BA12" s="77"/>
      <c r="BB12" s="77"/>
      <c r="BC12" s="77"/>
      <c r="BD12" s="77"/>
      <c r="BE12" s="77"/>
      <c r="BF12" s="77"/>
      <c r="BG12" s="77"/>
      <c r="BH12" s="77"/>
      <c r="BI12" s="77"/>
      <c r="BJ12" s="77"/>
      <c r="BK12" s="77"/>
      <c r="BL12" s="77"/>
      <c r="BM12" s="77"/>
    </row>
    <row r="13" spans="1:65" ht="26" customHeight="1" thickBot="1">
      <c r="B13" s="73"/>
      <c r="C13" s="73"/>
      <c r="D13" s="73"/>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85" t="s">
        <v>203</v>
      </c>
      <c r="AF13" s="85"/>
      <c r="AG13" s="85"/>
      <c r="AH13" s="85"/>
      <c r="AI13" s="85"/>
      <c r="AJ13" s="85"/>
      <c r="AK13" s="85"/>
      <c r="AL13" s="85"/>
      <c r="AM13" s="85"/>
      <c r="AN13" s="85"/>
      <c r="AO13" s="85" t="s">
        <v>204</v>
      </c>
      <c r="AP13" s="85"/>
      <c r="AQ13" s="85"/>
      <c r="AR13" s="85"/>
      <c r="AS13" s="85"/>
      <c r="AT13" s="85"/>
      <c r="AU13" s="85"/>
      <c r="AV13" s="77"/>
      <c r="AW13" s="77"/>
      <c r="AX13" s="77"/>
      <c r="AY13" s="77"/>
      <c r="AZ13" s="77"/>
      <c r="BA13" s="77"/>
      <c r="BB13" s="77"/>
      <c r="BC13" s="77"/>
      <c r="BD13" s="77"/>
      <c r="BE13" s="77"/>
      <c r="BF13" s="77"/>
      <c r="BG13" s="77"/>
      <c r="BH13" s="77"/>
      <c r="BI13" s="77"/>
      <c r="BJ13" s="77"/>
      <c r="BK13" s="77"/>
      <c r="BL13" s="77"/>
      <c r="BM13" s="77"/>
    </row>
    <row r="14" spans="1:65" ht="26" customHeight="1" thickBot="1">
      <c r="B14" s="73"/>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85"/>
      <c r="AF14" s="85"/>
      <c r="AG14" s="85"/>
      <c r="AH14" s="85"/>
      <c r="AI14" s="85"/>
      <c r="AJ14" s="85"/>
      <c r="AK14" s="85"/>
      <c r="AL14" s="85"/>
      <c r="AM14" s="85"/>
      <c r="AN14" s="85"/>
      <c r="AO14" s="85"/>
      <c r="AP14" s="85"/>
      <c r="AQ14" s="85"/>
      <c r="AR14" s="85"/>
      <c r="AS14" s="85"/>
      <c r="AT14" s="85"/>
      <c r="AU14" s="85"/>
      <c r="AV14" s="77"/>
      <c r="AW14" s="77"/>
      <c r="AX14" s="77"/>
      <c r="AY14" s="77"/>
      <c r="AZ14" s="77"/>
      <c r="BA14" s="77"/>
      <c r="BB14" s="77"/>
      <c r="BC14" s="77"/>
      <c r="BD14" s="77"/>
      <c r="BE14" s="77" t="s">
        <v>205</v>
      </c>
      <c r="BF14" s="77"/>
      <c r="BG14" s="77"/>
      <c r="BH14" s="77"/>
      <c r="BI14" s="77"/>
      <c r="BJ14" s="77"/>
      <c r="BK14" s="77"/>
      <c r="BL14" s="77"/>
      <c r="BM14" s="77"/>
    </row>
    <row r="15" spans="1:65" ht="26" customHeight="1" thickBot="1">
      <c r="B15" s="73"/>
      <c r="C15" s="73"/>
      <c r="D15" s="73"/>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85"/>
      <c r="AF15" s="85"/>
      <c r="AG15" s="85"/>
      <c r="AH15" s="85"/>
      <c r="AI15" s="85"/>
      <c r="AJ15" s="85"/>
      <c r="AK15" s="85"/>
      <c r="AL15" s="85"/>
      <c r="AM15" s="85"/>
      <c r="AN15" s="85"/>
      <c r="AO15" s="85"/>
      <c r="AP15" s="85"/>
      <c r="AQ15" s="85"/>
      <c r="AR15" s="85"/>
      <c r="AS15" s="85"/>
      <c r="AT15" s="85"/>
      <c r="AU15" s="85"/>
      <c r="AV15" s="77"/>
      <c r="AW15" s="77"/>
      <c r="AX15" s="77"/>
      <c r="AY15" s="77"/>
      <c r="AZ15" s="77"/>
      <c r="BA15" s="77"/>
      <c r="BB15" s="77"/>
      <c r="BC15" s="77"/>
      <c r="BD15" s="77"/>
      <c r="BE15" s="77"/>
      <c r="BF15" s="77"/>
      <c r="BG15" s="77"/>
      <c r="BH15" s="77"/>
      <c r="BI15" s="77"/>
      <c r="BJ15" s="77"/>
      <c r="BK15" s="77"/>
      <c r="BL15" s="77"/>
      <c r="BM15" s="77"/>
    </row>
    <row r="16" spans="1:65" ht="26" customHeight="1" thickBot="1">
      <c r="B16" s="73"/>
      <c r="C16" s="73"/>
      <c r="D16" s="73"/>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85"/>
      <c r="AF16" s="85"/>
      <c r="AG16" s="85"/>
      <c r="AH16" s="85"/>
      <c r="AI16" s="85"/>
      <c r="AJ16" s="85"/>
      <c r="AK16" s="85"/>
      <c r="AL16" s="85"/>
      <c r="AM16" s="85"/>
      <c r="AN16" s="85"/>
      <c r="AO16" s="85"/>
      <c r="AP16" s="85"/>
      <c r="AQ16" s="85"/>
      <c r="AR16" s="85"/>
      <c r="AS16" s="85"/>
      <c r="AT16" s="85"/>
      <c r="AU16" s="85"/>
      <c r="AV16" s="77"/>
      <c r="AW16" s="77"/>
      <c r="AX16" s="77"/>
      <c r="AY16" s="77"/>
      <c r="AZ16" s="77"/>
      <c r="BA16" s="77"/>
      <c r="BB16" s="77"/>
      <c r="BC16" s="77"/>
      <c r="BD16" s="77"/>
      <c r="BE16" s="77"/>
      <c r="BF16" s="77"/>
      <c r="BG16" s="77"/>
      <c r="BH16" s="77"/>
      <c r="BI16" s="77"/>
      <c r="BJ16" s="77"/>
      <c r="BK16" s="77"/>
      <c r="BL16" s="77"/>
      <c r="BM16" s="77"/>
    </row>
    <row r="17" spans="2:65" ht="26" customHeight="1" thickBot="1">
      <c r="B17" s="73"/>
      <c r="C17" s="73"/>
      <c r="D17" s="73"/>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85"/>
      <c r="AF17" s="85"/>
      <c r="AG17" s="85"/>
      <c r="AH17" s="85"/>
      <c r="AI17" s="85"/>
      <c r="AJ17" s="85"/>
      <c r="AK17" s="85"/>
      <c r="AL17" s="85"/>
      <c r="AM17" s="85"/>
      <c r="AN17" s="85"/>
      <c r="AO17" s="85"/>
      <c r="AP17" s="85"/>
      <c r="AQ17" s="85"/>
      <c r="AR17" s="85"/>
      <c r="AS17" s="85"/>
      <c r="AT17" s="85"/>
      <c r="AU17" s="85"/>
      <c r="AV17" s="77"/>
      <c r="AW17" s="77"/>
      <c r="AX17" s="77"/>
      <c r="AY17" s="77"/>
      <c r="AZ17" s="77"/>
      <c r="BA17" s="77"/>
      <c r="BB17" s="77"/>
      <c r="BC17" s="77"/>
      <c r="BD17" s="77"/>
      <c r="BE17" s="77"/>
      <c r="BF17" s="77"/>
      <c r="BG17" s="77"/>
      <c r="BH17" s="77"/>
      <c r="BI17" s="77"/>
      <c r="BJ17" s="77"/>
      <c r="BK17" s="77"/>
      <c r="BL17" s="77"/>
      <c r="BM17" s="77"/>
    </row>
    <row r="18" spans="2:65" ht="26" customHeight="1" thickBot="1">
      <c r="B18" s="73"/>
      <c r="C18" s="73"/>
      <c r="D18" s="73"/>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85"/>
      <c r="AF18" s="85"/>
      <c r="AG18" s="85"/>
      <c r="AH18" s="85"/>
      <c r="AI18" s="85"/>
      <c r="AJ18" s="85"/>
      <c r="AK18" s="85"/>
      <c r="AL18" s="85"/>
      <c r="AM18" s="85"/>
      <c r="AN18" s="85"/>
      <c r="AO18" s="85"/>
      <c r="AP18" s="85"/>
      <c r="AQ18" s="85"/>
      <c r="AR18" s="85"/>
      <c r="AS18" s="85"/>
      <c r="AT18" s="85"/>
      <c r="AU18" s="85"/>
      <c r="AV18" s="75" t="s">
        <v>206</v>
      </c>
      <c r="AW18" s="75"/>
      <c r="AX18" s="75"/>
      <c r="AY18" s="75"/>
      <c r="AZ18" s="75"/>
      <c r="BA18" s="75"/>
      <c r="BB18" s="75"/>
      <c r="BC18" s="75"/>
      <c r="BD18" s="75"/>
      <c r="BE18" s="75"/>
      <c r="BF18" s="71" t="s">
        <v>207</v>
      </c>
      <c r="BG18" s="71"/>
      <c r="BH18" s="71"/>
      <c r="BI18" s="71"/>
      <c r="BJ18" s="71"/>
      <c r="BK18" s="71"/>
      <c r="BL18" s="71"/>
      <c r="BM18" s="71"/>
    </row>
    <row r="19" spans="2:65" ht="26" customHeight="1" thickBot="1">
      <c r="B19" s="73" t="s">
        <v>208</v>
      </c>
      <c r="C19" s="73"/>
      <c r="D19" s="73"/>
      <c r="E19" s="73"/>
      <c r="F19" s="73"/>
      <c r="G19" s="73"/>
      <c r="H19" s="73"/>
      <c r="I19" s="73"/>
      <c r="J19" s="73"/>
      <c r="K19" s="73"/>
      <c r="L19" s="73" t="s">
        <v>209</v>
      </c>
      <c r="M19" s="73"/>
      <c r="N19" s="73"/>
      <c r="O19" s="73"/>
      <c r="P19" s="73"/>
      <c r="Q19" s="73"/>
      <c r="R19" s="73"/>
      <c r="S19" s="73"/>
      <c r="T19" s="73"/>
      <c r="U19" s="73"/>
      <c r="V19" s="73"/>
      <c r="W19" s="73"/>
      <c r="X19" s="73"/>
      <c r="Y19" s="73" t="s">
        <v>210</v>
      </c>
      <c r="Z19" s="73"/>
      <c r="AA19" s="73"/>
      <c r="AB19" s="73"/>
      <c r="AC19" s="73"/>
      <c r="AD19" s="73"/>
      <c r="AE19" s="85"/>
      <c r="AF19" s="85"/>
      <c r="AG19" s="85"/>
      <c r="AH19" s="85"/>
      <c r="AI19" s="85"/>
      <c r="AJ19" s="85"/>
      <c r="AK19" s="85"/>
      <c r="AL19" s="85"/>
      <c r="AM19" s="85"/>
      <c r="AN19" s="85"/>
      <c r="AO19" s="85"/>
      <c r="AP19" s="85"/>
      <c r="AQ19" s="85"/>
      <c r="AR19" s="85"/>
      <c r="AS19" s="85"/>
      <c r="AT19" s="85"/>
      <c r="AU19" s="85"/>
      <c r="AV19" s="75"/>
      <c r="AW19" s="75"/>
      <c r="AX19" s="75"/>
      <c r="AY19" s="75"/>
      <c r="AZ19" s="75"/>
      <c r="BA19" s="75"/>
      <c r="BB19" s="75"/>
      <c r="BC19" s="75"/>
      <c r="BD19" s="75"/>
      <c r="BE19" s="75"/>
      <c r="BF19" s="71"/>
      <c r="BG19" s="71"/>
      <c r="BH19" s="71"/>
      <c r="BI19" s="71"/>
      <c r="BJ19" s="71"/>
      <c r="BK19" s="71"/>
      <c r="BL19" s="71"/>
      <c r="BM19" s="71"/>
    </row>
    <row r="20" spans="2:65" ht="26" customHeight="1" thickBot="1">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85"/>
      <c r="AF20" s="85"/>
      <c r="AG20" s="85"/>
      <c r="AH20" s="85"/>
      <c r="AI20" s="85"/>
      <c r="AJ20" s="85"/>
      <c r="AK20" s="85"/>
      <c r="AL20" s="85"/>
      <c r="AM20" s="85"/>
      <c r="AN20" s="85"/>
      <c r="AO20" s="85"/>
      <c r="AP20" s="85"/>
      <c r="AQ20" s="85"/>
      <c r="AR20" s="85"/>
      <c r="AS20" s="85"/>
      <c r="AT20" s="85"/>
      <c r="AU20" s="85"/>
      <c r="AV20" s="75"/>
      <c r="AW20" s="75"/>
      <c r="AX20" s="75"/>
      <c r="AY20" s="75"/>
      <c r="AZ20" s="75"/>
      <c r="BA20" s="75"/>
      <c r="BB20" s="75"/>
      <c r="BC20" s="75"/>
      <c r="BD20" s="75"/>
      <c r="BE20" s="75"/>
      <c r="BF20" s="71"/>
      <c r="BG20" s="71"/>
      <c r="BH20" s="71"/>
      <c r="BI20" s="71"/>
      <c r="BJ20" s="71"/>
      <c r="BK20" s="71"/>
      <c r="BL20" s="71"/>
      <c r="BM20" s="71"/>
    </row>
    <row r="21" spans="2:65" ht="26" customHeight="1" thickBot="1">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85"/>
      <c r="AF21" s="85"/>
      <c r="AG21" s="85"/>
      <c r="AH21" s="85"/>
      <c r="AI21" s="85"/>
      <c r="AJ21" s="85"/>
      <c r="AK21" s="85"/>
      <c r="AL21" s="85"/>
      <c r="AM21" s="85"/>
      <c r="AN21" s="85"/>
      <c r="AO21" s="85"/>
      <c r="AP21" s="85"/>
      <c r="AQ21" s="85"/>
      <c r="AR21" s="85"/>
      <c r="AS21" s="85"/>
      <c r="AT21" s="85"/>
      <c r="AU21" s="85"/>
      <c r="AV21" s="75"/>
      <c r="AW21" s="75"/>
      <c r="AX21" s="75"/>
      <c r="AY21" s="75"/>
      <c r="AZ21" s="75"/>
      <c r="BA21" s="75"/>
      <c r="BB21" s="75"/>
      <c r="BC21" s="75"/>
      <c r="BD21" s="75"/>
      <c r="BE21" s="75"/>
      <c r="BF21" s="71"/>
      <c r="BG21" s="71"/>
      <c r="BH21" s="71"/>
      <c r="BI21" s="71"/>
      <c r="BJ21" s="71"/>
      <c r="BK21" s="71"/>
      <c r="BL21" s="71"/>
      <c r="BM21" s="71"/>
    </row>
    <row r="22" spans="2:65" ht="26" customHeight="1" thickBot="1">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85"/>
      <c r="AF22" s="85"/>
      <c r="AG22" s="85"/>
      <c r="AH22" s="85"/>
      <c r="AI22" s="85"/>
      <c r="AJ22" s="85"/>
      <c r="AK22" s="85"/>
      <c r="AL22" s="85"/>
      <c r="AM22" s="85"/>
      <c r="AN22" s="85"/>
      <c r="AO22" s="85"/>
      <c r="AP22" s="85"/>
      <c r="AQ22" s="85"/>
      <c r="AR22" s="85"/>
      <c r="AS22" s="85"/>
      <c r="AT22" s="85"/>
      <c r="AU22" s="85"/>
      <c r="AV22" s="75"/>
      <c r="AW22" s="75"/>
      <c r="AX22" s="75"/>
      <c r="AY22" s="75"/>
      <c r="AZ22" s="75"/>
      <c r="BA22" s="75"/>
      <c r="BB22" s="75"/>
      <c r="BC22" s="75"/>
      <c r="BD22" s="75"/>
      <c r="BE22" s="75"/>
      <c r="BF22" s="71"/>
      <c r="BG22" s="71"/>
      <c r="BH22" s="71"/>
      <c r="BI22" s="71"/>
      <c r="BJ22" s="71"/>
      <c r="BK22" s="71"/>
      <c r="BL22" s="71"/>
      <c r="BM22" s="71"/>
    </row>
    <row r="23" spans="2:65" ht="26" customHeight="1" thickBot="1">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85"/>
      <c r="AF23" s="85"/>
      <c r="AG23" s="85"/>
      <c r="AH23" s="85"/>
      <c r="AI23" s="85"/>
      <c r="AJ23" s="85"/>
      <c r="AK23" s="85"/>
      <c r="AL23" s="85"/>
      <c r="AM23" s="85"/>
      <c r="AN23" s="85"/>
      <c r="AO23" s="85"/>
      <c r="AP23" s="85"/>
      <c r="AQ23" s="85"/>
      <c r="AR23" s="85"/>
      <c r="AS23" s="85"/>
      <c r="AT23" s="85"/>
      <c r="AU23" s="85"/>
      <c r="AV23" s="75"/>
      <c r="AW23" s="75"/>
      <c r="AX23" s="75"/>
      <c r="AY23" s="75"/>
      <c r="AZ23" s="75"/>
      <c r="BA23" s="75"/>
      <c r="BB23" s="75"/>
      <c r="BC23" s="75"/>
      <c r="BD23" s="75"/>
      <c r="BE23" s="75"/>
      <c r="BF23" s="71"/>
      <c r="BG23" s="71"/>
      <c r="BH23" s="71"/>
      <c r="BI23" s="71"/>
      <c r="BJ23" s="71"/>
      <c r="BK23" s="71"/>
      <c r="BL23" s="71"/>
      <c r="BM23" s="71"/>
    </row>
    <row r="24" spans="2:65" ht="26" customHeight="1" thickBot="1">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85"/>
      <c r="AF24" s="85"/>
      <c r="AG24" s="85"/>
      <c r="AH24" s="85"/>
      <c r="AI24" s="85"/>
      <c r="AJ24" s="85"/>
      <c r="AK24" s="85"/>
      <c r="AL24" s="85"/>
      <c r="AM24" s="85"/>
      <c r="AN24" s="85"/>
      <c r="AO24" s="85"/>
      <c r="AP24" s="85"/>
      <c r="AQ24" s="85"/>
      <c r="AR24" s="85"/>
      <c r="AS24" s="85"/>
      <c r="AT24" s="85"/>
      <c r="AU24" s="85"/>
      <c r="AV24" s="75"/>
      <c r="AW24" s="75"/>
      <c r="AX24" s="75"/>
      <c r="AY24" s="75"/>
      <c r="AZ24" s="75"/>
      <c r="BA24" s="75"/>
      <c r="BB24" s="75"/>
      <c r="BC24" s="75"/>
      <c r="BD24" s="75"/>
      <c r="BE24" s="75"/>
      <c r="BF24" s="71"/>
      <c r="BG24" s="71"/>
      <c r="BH24" s="71"/>
      <c r="BI24" s="71"/>
      <c r="BJ24" s="71"/>
      <c r="BK24" s="71"/>
      <c r="BL24" s="71"/>
      <c r="BM24" s="71"/>
    </row>
    <row r="25" spans="2:65" ht="26" customHeight="1" thickBot="1">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85"/>
      <c r="AF25" s="85"/>
      <c r="AG25" s="85"/>
      <c r="AH25" s="85"/>
      <c r="AI25" s="85"/>
      <c r="AJ25" s="85"/>
      <c r="AK25" s="85"/>
      <c r="AL25" s="85"/>
      <c r="AM25" s="85"/>
      <c r="AN25" s="85"/>
      <c r="AO25" s="85"/>
      <c r="AP25" s="85"/>
      <c r="AQ25" s="85"/>
      <c r="AR25" s="85"/>
      <c r="AS25" s="85"/>
      <c r="AT25" s="85"/>
      <c r="AU25" s="85"/>
      <c r="AV25" s="75" t="s">
        <v>211</v>
      </c>
      <c r="AW25" s="75"/>
      <c r="AX25" s="75"/>
      <c r="AY25" s="75"/>
      <c r="AZ25" s="75"/>
      <c r="BA25" s="75"/>
      <c r="BB25" s="75" t="s">
        <v>212</v>
      </c>
      <c r="BC25" s="75"/>
      <c r="BD25" s="75"/>
      <c r="BE25" s="75"/>
      <c r="BF25" s="71"/>
      <c r="BG25" s="71"/>
      <c r="BH25" s="71"/>
      <c r="BI25" s="71"/>
      <c r="BJ25" s="71"/>
      <c r="BK25" s="71"/>
      <c r="BL25" s="71"/>
      <c r="BM25" s="71"/>
    </row>
    <row r="26" spans="2:65" ht="26" customHeight="1" thickBot="1">
      <c r="B26" s="73"/>
      <c r="C26" s="73"/>
      <c r="D26" s="73"/>
      <c r="E26" s="73"/>
      <c r="F26" s="73"/>
      <c r="G26" s="73"/>
      <c r="H26" s="73"/>
      <c r="I26" s="73"/>
      <c r="J26" s="73"/>
      <c r="K26" s="73"/>
      <c r="L26" s="73"/>
      <c r="M26" s="73"/>
      <c r="N26" s="73"/>
      <c r="O26" s="73"/>
      <c r="P26" s="73"/>
      <c r="Q26" s="73"/>
      <c r="R26" s="73"/>
      <c r="S26" s="73"/>
      <c r="T26" s="73"/>
      <c r="U26" s="73"/>
      <c r="V26" s="73"/>
      <c r="W26" s="73"/>
      <c r="X26" s="73"/>
      <c r="Y26" s="73" t="s">
        <v>213</v>
      </c>
      <c r="Z26" s="73"/>
      <c r="AA26" s="73"/>
      <c r="AB26" s="73"/>
      <c r="AC26" s="73"/>
      <c r="AD26" s="73"/>
      <c r="AE26" s="85" t="s">
        <v>214</v>
      </c>
      <c r="AF26" s="85"/>
      <c r="AG26" s="85"/>
      <c r="AH26" s="85"/>
      <c r="AI26" s="85"/>
      <c r="AJ26" s="85"/>
      <c r="AK26" s="85"/>
      <c r="AL26" s="85"/>
      <c r="AM26" s="85"/>
      <c r="AN26" s="85" t="s">
        <v>215</v>
      </c>
      <c r="AO26" s="85"/>
      <c r="AP26" s="85"/>
      <c r="AQ26" s="85"/>
      <c r="AR26" s="85"/>
      <c r="AS26" s="85"/>
      <c r="AT26" s="85"/>
      <c r="AU26" s="85"/>
      <c r="AV26" s="75"/>
      <c r="AW26" s="75"/>
      <c r="AX26" s="75"/>
      <c r="AY26" s="75"/>
      <c r="AZ26" s="75"/>
      <c r="BA26" s="75"/>
      <c r="BB26" s="75"/>
      <c r="BC26" s="75"/>
      <c r="BD26" s="75"/>
      <c r="BE26" s="75"/>
      <c r="BF26" s="71" t="s">
        <v>216</v>
      </c>
      <c r="BG26" s="71"/>
      <c r="BH26" s="71"/>
      <c r="BI26" s="71"/>
      <c r="BJ26" s="71" t="s">
        <v>217</v>
      </c>
      <c r="BK26" s="71"/>
      <c r="BL26" s="71"/>
      <c r="BM26" s="71"/>
    </row>
    <row r="27" spans="2:65" ht="26" customHeight="1" thickBot="1">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85"/>
      <c r="AF27" s="85"/>
      <c r="AG27" s="85"/>
      <c r="AH27" s="85"/>
      <c r="AI27" s="85"/>
      <c r="AJ27" s="85"/>
      <c r="AK27" s="85"/>
      <c r="AL27" s="85"/>
      <c r="AM27" s="85"/>
      <c r="AN27" s="85"/>
      <c r="AO27" s="85"/>
      <c r="AP27" s="85"/>
      <c r="AQ27" s="85"/>
      <c r="AR27" s="85"/>
      <c r="AS27" s="85"/>
      <c r="AT27" s="85"/>
      <c r="AU27" s="85"/>
      <c r="AV27" s="75"/>
      <c r="AW27" s="75"/>
      <c r="AX27" s="75"/>
      <c r="AY27" s="75"/>
      <c r="AZ27" s="75"/>
      <c r="BA27" s="75"/>
      <c r="BB27" s="75"/>
      <c r="BC27" s="75"/>
      <c r="BD27" s="75"/>
      <c r="BE27" s="75"/>
      <c r="BF27" s="71"/>
      <c r="BG27" s="71"/>
      <c r="BH27" s="71"/>
      <c r="BI27" s="71"/>
      <c r="BJ27" s="71"/>
      <c r="BK27" s="71"/>
      <c r="BL27" s="71"/>
      <c r="BM27" s="71"/>
    </row>
    <row r="28" spans="2:65" ht="26" customHeight="1" thickBot="1">
      <c r="B28" s="73"/>
      <c r="C28" s="73"/>
      <c r="D28" s="73"/>
      <c r="E28" s="73"/>
      <c r="F28" s="73"/>
      <c r="G28" s="73"/>
      <c r="H28" s="73"/>
      <c r="I28" s="73"/>
      <c r="J28" s="73"/>
      <c r="K28" s="73"/>
      <c r="L28" s="73" t="s">
        <v>218</v>
      </c>
      <c r="M28" s="73"/>
      <c r="N28" s="73"/>
      <c r="O28" s="73"/>
      <c r="P28" s="73"/>
      <c r="Q28" s="73"/>
      <c r="R28" s="73"/>
      <c r="S28" s="73"/>
      <c r="T28" s="73"/>
      <c r="U28" s="73"/>
      <c r="V28" s="73"/>
      <c r="W28" s="73"/>
      <c r="X28" s="73"/>
      <c r="Y28" s="73"/>
      <c r="Z28" s="73"/>
      <c r="AA28" s="73"/>
      <c r="AB28" s="73"/>
      <c r="AC28" s="73"/>
      <c r="AD28" s="73"/>
      <c r="AE28" s="85"/>
      <c r="AF28" s="85"/>
      <c r="AG28" s="85"/>
      <c r="AH28" s="85"/>
      <c r="AI28" s="85"/>
      <c r="AJ28" s="85"/>
      <c r="AK28" s="85"/>
      <c r="AL28" s="85"/>
      <c r="AM28" s="85"/>
      <c r="AN28" s="85"/>
      <c r="AO28" s="85"/>
      <c r="AP28" s="85"/>
      <c r="AQ28" s="85"/>
      <c r="AR28" s="85"/>
      <c r="AS28" s="85"/>
      <c r="AT28" s="85"/>
      <c r="AU28" s="85"/>
      <c r="AV28" s="75"/>
      <c r="AW28" s="75"/>
      <c r="AX28" s="75"/>
      <c r="AY28" s="75"/>
      <c r="AZ28" s="75"/>
      <c r="BA28" s="75"/>
      <c r="BB28" s="75" t="s">
        <v>219</v>
      </c>
      <c r="BC28" s="75"/>
      <c r="BD28" s="75"/>
      <c r="BE28" s="75"/>
      <c r="BF28" s="71"/>
      <c r="BG28" s="71"/>
      <c r="BH28" s="71"/>
      <c r="BI28" s="71"/>
      <c r="BJ28" s="71"/>
      <c r="BK28" s="71"/>
      <c r="BL28" s="71"/>
      <c r="BM28" s="71"/>
    </row>
    <row r="29" spans="2:65" ht="26" customHeight="1" thickBot="1">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85"/>
      <c r="AF29" s="85"/>
      <c r="AG29" s="85"/>
      <c r="AH29" s="85"/>
      <c r="AI29" s="85"/>
      <c r="AJ29" s="85"/>
      <c r="AK29" s="85"/>
      <c r="AL29" s="85"/>
      <c r="AM29" s="85"/>
      <c r="AN29" s="85"/>
      <c r="AO29" s="85"/>
      <c r="AP29" s="85"/>
      <c r="AQ29" s="85"/>
      <c r="AR29" s="85"/>
      <c r="AS29" s="85"/>
      <c r="AT29" s="85"/>
      <c r="AU29" s="85"/>
      <c r="AV29" s="75"/>
      <c r="AW29" s="75"/>
      <c r="AX29" s="75"/>
      <c r="AY29" s="75"/>
      <c r="AZ29" s="75"/>
      <c r="BA29" s="75"/>
      <c r="BB29" s="75"/>
      <c r="BC29" s="75"/>
      <c r="BD29" s="75"/>
      <c r="BE29" s="75"/>
      <c r="BF29" s="71"/>
      <c r="BG29" s="71"/>
      <c r="BH29" s="71"/>
      <c r="BI29" s="71"/>
      <c r="BJ29" s="71"/>
      <c r="BK29" s="71"/>
      <c r="BL29" s="71"/>
      <c r="BM29" s="71"/>
    </row>
    <row r="30" spans="2:65" ht="26" customHeight="1" thickBot="1">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85"/>
      <c r="AF30" s="85"/>
      <c r="AG30" s="85"/>
      <c r="AH30" s="85"/>
      <c r="AI30" s="85"/>
      <c r="AJ30" s="85"/>
      <c r="AK30" s="85"/>
      <c r="AL30" s="85"/>
      <c r="AM30" s="85"/>
      <c r="AN30" s="85"/>
      <c r="AO30" s="85"/>
      <c r="AP30" s="85"/>
      <c r="AQ30" s="85"/>
      <c r="AR30" s="85"/>
      <c r="AS30" s="85"/>
      <c r="AT30" s="85"/>
      <c r="AU30" s="85"/>
      <c r="AV30" s="75"/>
      <c r="AW30" s="75"/>
      <c r="AX30" s="75"/>
      <c r="AY30" s="75"/>
      <c r="AZ30" s="75"/>
      <c r="BA30" s="75"/>
      <c r="BB30" s="75"/>
      <c r="BC30" s="75"/>
      <c r="BD30" s="75"/>
      <c r="BE30" s="75"/>
      <c r="BF30" s="71"/>
      <c r="BG30" s="71"/>
      <c r="BH30" s="71"/>
      <c r="BI30" s="71"/>
      <c r="BJ30" s="71"/>
      <c r="BK30" s="71"/>
      <c r="BL30" s="71"/>
      <c r="BM30" s="71"/>
    </row>
    <row r="31" spans="2:65" ht="26" customHeight="1" thickBot="1">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85"/>
      <c r="AF31" s="85"/>
      <c r="AG31" s="85"/>
      <c r="AH31" s="85"/>
      <c r="AI31" s="85"/>
      <c r="AJ31" s="85"/>
      <c r="AK31" s="85"/>
      <c r="AL31" s="85"/>
      <c r="AM31" s="85"/>
      <c r="AN31" s="85"/>
      <c r="AO31" s="85"/>
      <c r="AP31" s="85"/>
      <c r="AQ31" s="85"/>
      <c r="AR31" s="85"/>
      <c r="AS31" s="85"/>
      <c r="AT31" s="85"/>
      <c r="AU31" s="85"/>
      <c r="AV31" s="72" t="s">
        <v>220</v>
      </c>
      <c r="AW31" s="72"/>
      <c r="AX31" s="72"/>
      <c r="AY31" s="72"/>
      <c r="AZ31" s="72"/>
      <c r="BA31" s="72"/>
      <c r="BB31" s="72"/>
      <c r="BC31" s="72"/>
      <c r="BD31" s="72" t="s">
        <v>221</v>
      </c>
      <c r="BE31" s="72"/>
      <c r="BF31" s="72"/>
      <c r="BG31" s="72"/>
      <c r="BH31" s="72"/>
      <c r="BI31" s="72" t="s">
        <v>222</v>
      </c>
      <c r="BJ31" s="72"/>
      <c r="BK31" s="72"/>
      <c r="BL31" s="72"/>
      <c r="BM31" s="72"/>
    </row>
    <row r="32" spans="2:65" ht="26" customHeight="1" thickBot="1">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85"/>
      <c r="AF32" s="85"/>
      <c r="AG32" s="85"/>
      <c r="AH32" s="85"/>
      <c r="AI32" s="85"/>
      <c r="AJ32" s="85"/>
      <c r="AK32" s="85"/>
      <c r="AL32" s="85"/>
      <c r="AM32" s="85"/>
      <c r="AN32" s="85"/>
      <c r="AO32" s="85"/>
      <c r="AP32" s="85"/>
      <c r="AQ32" s="85"/>
      <c r="AR32" s="85"/>
      <c r="AS32" s="85"/>
      <c r="AT32" s="85"/>
      <c r="AU32" s="85"/>
      <c r="AV32" s="72"/>
      <c r="AW32" s="72"/>
      <c r="AX32" s="72"/>
      <c r="AY32" s="72"/>
      <c r="AZ32" s="72"/>
      <c r="BA32" s="72"/>
      <c r="BB32" s="72"/>
      <c r="BC32" s="72"/>
      <c r="BD32" s="72"/>
      <c r="BE32" s="72"/>
      <c r="BF32" s="72"/>
      <c r="BG32" s="72"/>
      <c r="BH32" s="72"/>
      <c r="BI32" s="72"/>
      <c r="BJ32" s="72"/>
      <c r="BK32" s="72"/>
      <c r="BL32" s="72"/>
      <c r="BM32" s="72"/>
    </row>
    <row r="33" spans="2:65" ht="26" customHeight="1" thickBot="1">
      <c r="B33" s="73"/>
      <c r="C33" s="73"/>
      <c r="D33" s="73"/>
      <c r="E33" s="73"/>
      <c r="F33" s="73"/>
      <c r="G33" s="73"/>
      <c r="H33" s="73"/>
      <c r="I33" s="73"/>
      <c r="J33" s="73"/>
      <c r="K33" s="73"/>
      <c r="L33" s="73"/>
      <c r="M33" s="73"/>
      <c r="N33" s="73"/>
      <c r="O33" s="73"/>
      <c r="P33" s="73"/>
      <c r="Q33" s="73"/>
      <c r="R33" s="73"/>
      <c r="S33" s="73"/>
      <c r="T33" s="73"/>
      <c r="U33" s="73"/>
      <c r="V33" s="73"/>
      <c r="W33" s="73"/>
      <c r="X33" s="73"/>
      <c r="Y33" s="73" t="s">
        <v>223</v>
      </c>
      <c r="Z33" s="73"/>
      <c r="AA33" s="73"/>
      <c r="AB33" s="73"/>
      <c r="AC33" s="73" t="s">
        <v>224</v>
      </c>
      <c r="AD33" s="73"/>
      <c r="AE33" s="85"/>
      <c r="AF33" s="85"/>
      <c r="AG33" s="85"/>
      <c r="AH33" s="85"/>
      <c r="AI33" s="85"/>
      <c r="AJ33" s="85"/>
      <c r="AK33" s="85"/>
      <c r="AL33" s="85"/>
      <c r="AM33" s="85"/>
      <c r="AN33" s="85"/>
      <c r="AO33" s="85"/>
      <c r="AP33" s="85"/>
      <c r="AQ33" s="85"/>
      <c r="AR33" s="85"/>
      <c r="AS33" s="85"/>
      <c r="AT33" s="85"/>
      <c r="AU33" s="85"/>
      <c r="AV33" s="72"/>
      <c r="AW33" s="72"/>
      <c r="AX33" s="72"/>
      <c r="AY33" s="72"/>
      <c r="AZ33" s="72"/>
      <c r="BA33" s="72"/>
      <c r="BB33" s="72"/>
      <c r="BC33" s="72"/>
      <c r="BD33" s="72"/>
      <c r="BE33" s="72"/>
      <c r="BF33" s="72"/>
      <c r="BG33" s="72"/>
      <c r="BH33" s="72"/>
      <c r="BI33" s="72"/>
      <c r="BJ33" s="72"/>
      <c r="BK33" s="72"/>
      <c r="BL33" s="72"/>
      <c r="BM33" s="72"/>
    </row>
    <row r="34" spans="2:65" ht="26" customHeight="1" thickBot="1">
      <c r="B34" s="73"/>
      <c r="C34" s="73"/>
      <c r="D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85"/>
      <c r="AF34" s="85"/>
      <c r="AG34" s="85"/>
      <c r="AH34" s="85"/>
      <c r="AI34" s="85"/>
      <c r="AJ34" s="85"/>
      <c r="AK34" s="85"/>
      <c r="AL34" s="85"/>
      <c r="AM34" s="85"/>
      <c r="AN34" s="85"/>
      <c r="AO34" s="85"/>
      <c r="AP34" s="85"/>
      <c r="AQ34" s="85"/>
      <c r="AR34" s="85"/>
      <c r="AS34" s="85"/>
      <c r="AT34" s="85"/>
      <c r="AU34" s="85"/>
      <c r="AV34" s="72"/>
      <c r="AW34" s="72"/>
      <c r="AX34" s="72"/>
      <c r="AY34" s="72"/>
      <c r="AZ34" s="72"/>
      <c r="BA34" s="72"/>
      <c r="BB34" s="72"/>
      <c r="BC34" s="72"/>
      <c r="BD34" s="72"/>
      <c r="BE34" s="72"/>
      <c r="BF34" s="72"/>
      <c r="BG34" s="72"/>
      <c r="BH34" s="72"/>
      <c r="BI34" s="72"/>
      <c r="BJ34" s="72"/>
      <c r="BK34" s="72"/>
      <c r="BL34" s="72"/>
      <c r="BM34" s="72"/>
    </row>
    <row r="35" spans="2:65" ht="26" customHeight="1" thickBot="1">
      <c r="B35" s="73"/>
      <c r="C35" s="73"/>
      <c r="D35" s="73"/>
      <c r="E35" s="73"/>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85"/>
      <c r="AF35" s="85"/>
      <c r="AG35" s="85"/>
      <c r="AH35" s="85"/>
      <c r="AI35" s="85"/>
      <c r="AJ35" s="85"/>
      <c r="AK35" s="85"/>
      <c r="AL35" s="85"/>
      <c r="AM35" s="85"/>
      <c r="AN35" s="85"/>
      <c r="AO35" s="85"/>
      <c r="AP35" s="85"/>
      <c r="AQ35" s="85"/>
      <c r="AR35" s="85"/>
      <c r="AS35" s="85"/>
      <c r="AT35" s="85"/>
      <c r="AU35" s="85"/>
      <c r="AV35" s="72"/>
      <c r="AW35" s="72"/>
      <c r="AX35" s="72"/>
      <c r="AY35" s="72"/>
      <c r="AZ35" s="72"/>
      <c r="BA35" s="72"/>
      <c r="BB35" s="72"/>
      <c r="BC35" s="72"/>
      <c r="BD35" s="72"/>
      <c r="BE35" s="72"/>
      <c r="BF35" s="72"/>
      <c r="BG35" s="72"/>
      <c r="BH35" s="72"/>
      <c r="BI35" s="72"/>
      <c r="BJ35" s="72"/>
      <c r="BK35" s="72"/>
      <c r="BL35" s="72"/>
      <c r="BM35" s="72"/>
    </row>
    <row r="37" spans="2:65">
      <c r="B37" s="46" t="s">
        <v>225</v>
      </c>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row>
    <row r="38" spans="2:65" ht="18" customHeight="1">
      <c r="B38" s="86"/>
      <c r="C38" s="86"/>
      <c r="D38" s="86"/>
      <c r="E38" s="47" t="s">
        <v>226</v>
      </c>
      <c r="F38" s="47"/>
      <c r="G38" s="47"/>
      <c r="H38" s="47"/>
      <c r="I38" s="47"/>
      <c r="J38" s="47"/>
      <c r="K38" s="47"/>
      <c r="L38" s="47"/>
      <c r="M38" s="47"/>
      <c r="N38" s="47"/>
      <c r="O38" s="47"/>
      <c r="P38" s="47"/>
      <c r="Q38" s="47"/>
      <c r="R38" s="47"/>
      <c r="S38" s="47"/>
      <c r="T38" s="47"/>
      <c r="U38" s="47"/>
      <c r="W38" s="76"/>
      <c r="X38" s="76"/>
      <c r="Y38" s="76"/>
      <c r="Z38" s="47" t="s">
        <v>227</v>
      </c>
      <c r="AA38" s="47"/>
      <c r="AB38" s="47"/>
      <c r="AC38" s="47"/>
      <c r="AD38" s="47"/>
      <c r="AE38" s="47"/>
      <c r="AF38" s="47"/>
      <c r="AG38" s="47"/>
      <c r="AH38" s="47"/>
      <c r="AI38" s="47"/>
      <c r="AJ38" s="47"/>
      <c r="AK38" s="47"/>
      <c r="AL38" s="47"/>
      <c r="AM38" s="47"/>
      <c r="AN38" s="47"/>
      <c r="AO38" s="47"/>
      <c r="AP38" s="47"/>
      <c r="AR38" s="78"/>
      <c r="AS38" s="78"/>
      <c r="AT38" s="78"/>
      <c r="AU38" s="47" t="s">
        <v>228</v>
      </c>
      <c r="AV38" s="47"/>
      <c r="AW38" s="47"/>
      <c r="AX38" s="47"/>
      <c r="AY38" s="47"/>
      <c r="AZ38" s="47"/>
      <c r="BA38" s="47"/>
      <c r="BB38" s="47"/>
      <c r="BC38" s="47"/>
      <c r="BD38" s="47"/>
      <c r="BE38" s="47"/>
      <c r="BF38" s="47"/>
      <c r="BG38" s="47"/>
      <c r="BH38" s="47"/>
      <c r="BI38" s="47"/>
      <c r="BJ38" s="47"/>
      <c r="BK38" s="47"/>
    </row>
    <row r="39" spans="2:65" ht="18" customHeight="1">
      <c r="B39" s="69"/>
      <c r="C39" s="69"/>
      <c r="D39" s="69"/>
      <c r="E39" s="47" t="s">
        <v>229</v>
      </c>
      <c r="F39" s="47"/>
      <c r="G39" s="47"/>
      <c r="H39" s="47"/>
      <c r="I39" s="47"/>
      <c r="J39" s="47"/>
      <c r="K39" s="47"/>
      <c r="L39" s="47"/>
      <c r="M39" s="47"/>
      <c r="N39" s="47"/>
      <c r="O39" s="47"/>
      <c r="P39" s="47"/>
      <c r="Q39" s="47"/>
      <c r="R39" s="47"/>
      <c r="S39" s="47"/>
      <c r="T39" s="47"/>
      <c r="U39" s="47"/>
      <c r="W39" s="70"/>
      <c r="X39" s="70"/>
      <c r="Y39" s="70"/>
      <c r="Z39" s="47" t="s">
        <v>230</v>
      </c>
      <c r="AA39" s="47"/>
      <c r="AB39" s="47"/>
      <c r="AC39" s="47"/>
      <c r="AD39" s="47"/>
      <c r="AE39" s="47"/>
      <c r="AF39" s="47"/>
      <c r="AG39" s="47"/>
      <c r="AH39" s="47"/>
      <c r="AI39" s="47"/>
      <c r="AJ39" s="47"/>
      <c r="AK39" s="47"/>
      <c r="AL39" s="47"/>
      <c r="AM39" s="47"/>
      <c r="AN39" s="47"/>
      <c r="AO39" s="47"/>
      <c r="AP39" s="47"/>
      <c r="AR39" s="74"/>
      <c r="AS39" s="74"/>
      <c r="AT39" s="74"/>
      <c r="AU39" s="47" t="s">
        <v>231</v>
      </c>
      <c r="AV39" s="47"/>
      <c r="AW39" s="47"/>
      <c r="AX39" s="47"/>
      <c r="AY39" s="47"/>
      <c r="AZ39" s="47"/>
      <c r="BA39" s="47"/>
      <c r="BB39" s="47"/>
      <c r="BC39" s="47"/>
      <c r="BD39" s="47"/>
      <c r="BE39" s="47"/>
      <c r="BF39" s="47"/>
      <c r="BG39" s="47"/>
      <c r="BH39" s="47"/>
      <c r="BI39" s="47"/>
      <c r="BJ39" s="47"/>
      <c r="BK39" s="47"/>
    </row>
    <row r="41" spans="2:65" ht="30" customHeight="1">
      <c r="B41" s="44" t="s">
        <v>232</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c r="BM41" s="44"/>
    </row>
  </sheetData>
  <mergeCells count="46">
    <mergeCell ref="AU39:BK39"/>
    <mergeCell ref="B41:BM41"/>
    <mergeCell ref="B39:D39"/>
    <mergeCell ref="E39:U39"/>
    <mergeCell ref="W39:Y39"/>
    <mergeCell ref="Z39:AP39"/>
    <mergeCell ref="AR39:AT39"/>
    <mergeCell ref="B37:BM37"/>
    <mergeCell ref="B38:D38"/>
    <mergeCell ref="E38:U38"/>
    <mergeCell ref="W38:Y38"/>
    <mergeCell ref="Z38:AP38"/>
    <mergeCell ref="AR38:AT38"/>
    <mergeCell ref="AU38:BK38"/>
    <mergeCell ref="BF26:BI30"/>
    <mergeCell ref="BJ26:BM30"/>
    <mergeCell ref="L28:X35"/>
    <mergeCell ref="BB28:BE30"/>
    <mergeCell ref="AV31:BC35"/>
    <mergeCell ref="BD31:BH35"/>
    <mergeCell ref="BI31:BM35"/>
    <mergeCell ref="Y33:AB35"/>
    <mergeCell ref="AC33:AD35"/>
    <mergeCell ref="L19:X27"/>
    <mergeCell ref="Y19:AD25"/>
    <mergeCell ref="AV25:BA30"/>
    <mergeCell ref="BB25:BE27"/>
    <mergeCell ref="Y26:AD32"/>
    <mergeCell ref="AE26:AM35"/>
    <mergeCell ref="AN26:AU35"/>
    <mergeCell ref="A1:BM1"/>
    <mergeCell ref="A2:BM2"/>
    <mergeCell ref="B4:Q18"/>
    <mergeCell ref="R4:AD18"/>
    <mergeCell ref="AE4:AU12"/>
    <mergeCell ref="AV4:BD11"/>
    <mergeCell ref="BE4:BM8"/>
    <mergeCell ref="BE9:BJ13"/>
    <mergeCell ref="BK9:BM17"/>
    <mergeCell ref="AV12:BD17"/>
    <mergeCell ref="AE13:AN25"/>
    <mergeCell ref="AO13:AU25"/>
    <mergeCell ref="BE14:BJ17"/>
    <mergeCell ref="AV18:BE24"/>
    <mergeCell ref="BF18:BM25"/>
    <mergeCell ref="B19:K35"/>
  </mergeCells>
  <phoneticPr fontId="20" type="noConversion"/>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CB07B"/>
    <pageSetUpPr fitToPage="1"/>
  </sheetPr>
  <dimension ref="A1:K36"/>
  <sheetViews>
    <sheetView showGridLines="0" topLeftCell="A11" zoomScaleNormal="100" workbookViewId="0">
      <selection activeCell="D41" sqref="D41"/>
    </sheetView>
  </sheetViews>
  <sheetFormatPr baseColWidth="10" defaultColWidth="8.6640625" defaultRowHeight="15"/>
  <cols>
    <col min="1" max="1" width="6" customWidth="1"/>
    <col min="2" max="2" width="26" customWidth="1"/>
    <col min="3" max="3" width="22" customWidth="1"/>
    <col min="4" max="4" width="10" customWidth="1"/>
    <col min="5" max="7" width="14" customWidth="1"/>
    <col min="8" max="8" width="12" customWidth="1"/>
    <col min="9" max="9" width="52" customWidth="1"/>
    <col min="10" max="10" width="56" customWidth="1"/>
    <col min="11" max="11" width="12" customWidth="1"/>
  </cols>
  <sheetData>
    <row r="1" spans="1:11" ht="31.5" customHeight="1">
      <c r="A1" s="43" t="s">
        <v>233</v>
      </c>
      <c r="B1" s="43"/>
      <c r="C1" s="43"/>
      <c r="D1" s="43"/>
      <c r="E1" s="43"/>
      <c r="F1" s="43"/>
      <c r="G1" s="43"/>
      <c r="H1" s="43"/>
      <c r="I1" s="43"/>
      <c r="J1" s="43"/>
      <c r="K1" s="43"/>
    </row>
    <row r="2" spans="1:11" ht="27.75" customHeight="1">
      <c r="A2" s="44" t="s">
        <v>981</v>
      </c>
      <c r="B2" s="44"/>
      <c r="C2" s="44"/>
      <c r="D2" s="44"/>
      <c r="E2" s="44"/>
      <c r="F2" s="44"/>
      <c r="G2" s="44"/>
      <c r="H2" s="44"/>
      <c r="I2" s="44"/>
      <c r="J2" s="44"/>
      <c r="K2" s="44"/>
    </row>
    <row r="4" spans="1:11" ht="21.75" customHeight="1">
      <c r="A4" s="49" t="s">
        <v>234</v>
      </c>
      <c r="B4" s="49"/>
      <c r="C4" s="49"/>
      <c r="D4" s="49"/>
      <c r="E4" s="49"/>
      <c r="F4" s="49"/>
      <c r="G4" s="49"/>
      <c r="H4" s="49"/>
      <c r="I4" s="49"/>
      <c r="J4" s="49"/>
      <c r="K4" s="49"/>
    </row>
    <row r="5" spans="1:11" ht="21.75" customHeight="1">
      <c r="A5" s="38" t="str">
        <f>"A. Tendance : taux d’engagement cumulé ≥ 1,5 × la médiane ("&amp;ROUND(1.5*Succès!E10*100,1)&amp;" %) ET vues cumulées ≥ médiane d’une vidéo ("&amp;ROUND(Succès!D10/1000000,1)&amp;" M). Classés par engagement."</f>
        <v>A. Tendance : taux d’engagement cumulé ≥ 1,5 × la médiane (16 %) ET vues cumulées ≥ médiane d’une vidéo (10,4 M). Classés par engagement.</v>
      </c>
      <c r="B5" s="38"/>
      <c r="C5" s="38"/>
      <c r="D5" s="38"/>
      <c r="E5" s="38"/>
      <c r="F5" s="38"/>
      <c r="G5" s="38"/>
      <c r="H5" s="38"/>
      <c r="I5" s="38"/>
      <c r="J5" s="38"/>
      <c r="K5" s="38"/>
    </row>
    <row r="6" spans="1:11" ht="21.75" customHeight="1">
      <c r="A6" s="38" t="str">
        <f>"B. Hashtag humour : taux d’engagement ≥ médiane du fichier ("&amp;ROUND(Succès!E13*100,1)&amp;" %) ET moins de 5 M d’abonnés : la taille de l’audience n’est pas ce qui fait le succès. Top 8 par engagement."</f>
        <v>B. Hashtag humour : taux d’engagement ≥ médiane du fichier (16,3 %) ET moins de 5 M d’abonnés : la taille de l’audience n’est pas ce qui fait le succès. Top 8 par engagement.</v>
      </c>
      <c r="B6" s="38"/>
      <c r="C6" s="38"/>
      <c r="D6" s="38"/>
      <c r="E6" s="38"/>
      <c r="F6" s="38"/>
      <c r="G6" s="38"/>
      <c r="H6" s="38"/>
      <c r="I6" s="38"/>
      <c r="J6" s="38"/>
      <c r="K6" s="38"/>
    </row>
    <row r="8" spans="1:11" ht="21.75" customHeight="1">
      <c r="A8" s="49" t="s">
        <v>235</v>
      </c>
      <c r="B8" s="49"/>
      <c r="C8" s="49"/>
      <c r="D8" s="49"/>
      <c r="E8" s="49"/>
      <c r="F8" s="49"/>
      <c r="G8" s="49"/>
      <c r="H8" s="49"/>
      <c r="I8" s="49"/>
      <c r="J8" s="49"/>
      <c r="K8" s="49"/>
    </row>
    <row r="9" spans="1:11" ht="31.5" customHeight="1">
      <c r="A9" s="56" t="s">
        <v>143</v>
      </c>
      <c r="B9" s="56" t="s">
        <v>20</v>
      </c>
      <c r="C9" s="56" t="s">
        <v>236</v>
      </c>
      <c r="D9" s="56" t="s">
        <v>36</v>
      </c>
      <c r="E9" s="56" t="s">
        <v>23</v>
      </c>
      <c r="F9" s="56" t="s">
        <v>22</v>
      </c>
      <c r="G9" s="56" t="s">
        <v>237</v>
      </c>
      <c r="H9" s="56" t="s">
        <v>92</v>
      </c>
      <c r="I9" s="56" t="s">
        <v>238</v>
      </c>
      <c r="J9" s="56" t="s">
        <v>239</v>
      </c>
      <c r="K9" s="56" t="s">
        <v>144</v>
      </c>
    </row>
    <row r="10" spans="1:11" ht="42" customHeight="1">
      <c r="A10" s="23">
        <v>1</v>
      </c>
      <c r="B10" s="9" t="s">
        <v>133</v>
      </c>
      <c r="C10" s="10" t="str">
        <f>INDEX(Données!$E$2:$E$101,MATCH(K10,Données!$C$2:$C$101,0))</f>
        <v>Musique &amp; danse</v>
      </c>
      <c r="D10" s="11">
        <f>COUNTIF(Données!$C$2:$C$101,K10)</f>
        <v>2</v>
      </c>
      <c r="E10" s="12">
        <f>SUMIF(Données!$C$2:$C$101,K10,Données!$L$2:$L$101)</f>
        <v>26700000</v>
      </c>
      <c r="F10" s="30">
        <f>(SUMIF(Données!$C$2:$C$101,K10,Données!$M$2:$M$101)+SUMIF(Données!$C$2:$C$101,K10,Données!$N$2:$N$101)+SUMIF(Données!$C$2:$C$101,K10,Données!$O$2:$O$101))/E10</f>
        <v>0.36091760299625469</v>
      </c>
      <c r="G10" s="17">
        <f>F10/Succès!$E$10</f>
        <v>3.3802706822403992</v>
      </c>
      <c r="H10" s="23" t="str">
        <f>INDEX(Données!$F$2:$F$101,MATCH(K10,Données!$C$2:$C$101,0))</f>
        <v>Oui</v>
      </c>
      <c r="I10" s="10" t="s">
        <v>240</v>
      </c>
      <c r="J10" s="10" t="s">
        <v>241</v>
      </c>
      <c r="K10" s="31" t="s">
        <v>175</v>
      </c>
    </row>
    <row r="11" spans="1:11" ht="42" customHeight="1">
      <c r="A11" s="23">
        <v>2</v>
      </c>
      <c r="B11" s="9" t="s">
        <v>129</v>
      </c>
      <c r="C11" s="10" t="str">
        <f>INDEX(Données!$E$2:$E$101,MATCH(K11,Données!$C$2:$C$101,0))</f>
        <v>Food &amp; lifestyle</v>
      </c>
      <c r="D11" s="11">
        <f>COUNTIF(Données!$C$2:$C$101,K11)</f>
        <v>3</v>
      </c>
      <c r="E11" s="12">
        <f>SUMIF(Données!$C$2:$C$101,K11,Données!$L$2:$L$101)</f>
        <v>73900000</v>
      </c>
      <c r="F11" s="30">
        <f>(SUMIF(Données!$C$2:$C$101,K11,Données!$M$2:$M$101)+SUMIF(Données!$C$2:$C$101,K11,Données!$N$2:$N$101)+SUMIF(Données!$C$2:$C$101,K11,Données!$O$2:$O$101))/E11</f>
        <v>0.2506576454668471</v>
      </c>
      <c r="G11" s="17">
        <f>F11/Succès!$E$10</f>
        <v>2.3476014558918141</v>
      </c>
      <c r="H11" s="23" t="str">
        <f>INDEX(Données!$F$2:$F$101,MATCH(K11,Données!$C$2:$C$101,0))</f>
        <v>Oui</v>
      </c>
      <c r="I11" s="10" t="s">
        <v>242</v>
      </c>
      <c r="J11" s="10" t="s">
        <v>243</v>
      </c>
      <c r="K11" s="31" t="s">
        <v>170</v>
      </c>
    </row>
    <row r="12" spans="1:11" ht="42" customHeight="1">
      <c r="A12" s="23">
        <v>3</v>
      </c>
      <c r="B12" s="9" t="s">
        <v>137</v>
      </c>
      <c r="C12" s="10" t="str">
        <f>INDEX(Données!$E$2:$E$101,MATCH(K12,Données!$C$2:$C$101,0))</f>
        <v>Non classé</v>
      </c>
      <c r="D12" s="11">
        <f>COUNTIF(Données!$C$2:$C$101,K12)</f>
        <v>1</v>
      </c>
      <c r="E12" s="12">
        <f>SUMIF(Données!$C$2:$C$101,K12,Données!$L$2:$L$101)</f>
        <v>14100000</v>
      </c>
      <c r="F12" s="30">
        <f>(SUMIF(Données!$C$2:$C$101,K12,Données!$M$2:$M$101)+SUMIF(Données!$C$2:$C$101,K12,Données!$N$2:$N$101)+SUMIF(Données!$C$2:$C$101,K12,Données!$O$2:$O$101))/E12</f>
        <v>0.23800709219858157</v>
      </c>
      <c r="G12" s="17">
        <f>F12/Succès!$E$10</f>
        <v>2.2291193038110189</v>
      </c>
      <c r="H12" s="23" t="str">
        <f>INDEX(Données!$F$2:$F$101,MATCH(K12,Données!$C$2:$C$101,0))</f>
        <v>Inconnu</v>
      </c>
      <c r="I12" s="10" t="s">
        <v>244</v>
      </c>
      <c r="J12" s="10" t="s">
        <v>245</v>
      </c>
      <c r="K12" s="31" t="s">
        <v>188</v>
      </c>
    </row>
    <row r="13" spans="1:11" ht="42" customHeight="1">
      <c r="A13" s="23">
        <v>4</v>
      </c>
      <c r="B13" s="9" t="s">
        <v>187</v>
      </c>
      <c r="C13" s="10" t="str">
        <f>INDEX(Données!$E$2:$E$101,MATCH(K13,Données!$C$2:$C$101,0))</f>
        <v>Non classé</v>
      </c>
      <c r="D13" s="11">
        <f>COUNTIF(Données!$C$2:$C$101,K13)</f>
        <v>1</v>
      </c>
      <c r="E13" s="12">
        <f>SUMIF(Données!$C$2:$C$101,K13,Données!$L$2:$L$101)</f>
        <v>50500000</v>
      </c>
      <c r="F13" s="30">
        <f>(SUMIF(Données!$C$2:$C$101,K13,Données!$M$2:$M$101)+SUMIF(Données!$C$2:$C$101,K13,Données!$N$2:$N$101)+SUMIF(Données!$C$2:$C$101,K13,Données!$O$2:$O$101))/E13</f>
        <v>0.19853861386138613</v>
      </c>
      <c r="G13" s="17">
        <f>F13/Succès!$E$10</f>
        <v>1.8594666764847576</v>
      </c>
      <c r="H13" s="23" t="str">
        <f>INDEX(Données!$F$2:$F$101,MATCH(K13,Données!$C$2:$C$101,0))</f>
        <v>Non</v>
      </c>
      <c r="I13" s="10" t="s">
        <v>246</v>
      </c>
      <c r="J13" s="10" t="s">
        <v>247</v>
      </c>
      <c r="K13" s="31" t="s">
        <v>186</v>
      </c>
    </row>
    <row r="14" spans="1:11" ht="42" customHeight="1">
      <c r="A14" s="23">
        <v>5</v>
      </c>
      <c r="B14" s="9" t="s">
        <v>122</v>
      </c>
      <c r="C14" s="10" t="str">
        <f>INDEX(Données!$E$2:$E$101,MATCH(K14,Données!$C$2:$C$101,0))</f>
        <v>Animaux</v>
      </c>
      <c r="D14" s="11">
        <f>COUNTIF(Données!$C$2:$C$101,K14)</f>
        <v>1</v>
      </c>
      <c r="E14" s="12">
        <f>SUMIF(Données!$C$2:$C$101,K14,Données!$L$2:$L$101)</f>
        <v>11400000</v>
      </c>
      <c r="F14" s="30">
        <f>(SUMIF(Données!$C$2:$C$101,K14,Données!$M$2:$M$101)+SUMIF(Données!$C$2:$C$101,K14,Données!$N$2:$N$101)+SUMIF(Données!$C$2:$C$101,K14,Données!$O$2:$O$101))/E14</f>
        <v>0.19607894736842105</v>
      </c>
      <c r="G14" s="17">
        <f>F14/Succès!$E$10</f>
        <v>1.8364300097629485</v>
      </c>
      <c r="H14" s="23" t="str">
        <f>INDEX(Données!$F$2:$F$101,MATCH(K14,Données!$C$2:$C$101,0))</f>
        <v>Non</v>
      </c>
      <c r="I14" s="10" t="s">
        <v>248</v>
      </c>
      <c r="J14" s="10" t="s">
        <v>247</v>
      </c>
      <c r="K14" s="31" t="s">
        <v>159</v>
      </c>
    </row>
    <row r="15" spans="1:11" ht="42" customHeight="1">
      <c r="A15" s="23">
        <v>6</v>
      </c>
      <c r="B15" s="9" t="s">
        <v>190</v>
      </c>
      <c r="C15" s="10" t="str">
        <f>INDEX(Données!$E$2:$E$101,MATCH(K15,Données!$C$2:$C$101,0))</f>
        <v>Non classé</v>
      </c>
      <c r="D15" s="11">
        <f>COUNTIF(Données!$C$2:$C$101,K15)</f>
        <v>1</v>
      </c>
      <c r="E15" s="12">
        <f>SUMIF(Données!$C$2:$C$101,K15,Données!$L$2:$L$101)</f>
        <v>10500000</v>
      </c>
      <c r="F15" s="30">
        <f>(SUMIF(Données!$C$2:$C$101,K15,Données!$M$2:$M$101)+SUMIF(Données!$C$2:$C$101,K15,Données!$N$2:$N$101)+SUMIF(Données!$C$2:$C$101,K15,Données!$O$2:$O$101))/E15</f>
        <v>0.18615238095238096</v>
      </c>
      <c r="G15" s="17">
        <f>F15/Succès!$E$10</f>
        <v>1.7434600876730006</v>
      </c>
      <c r="H15" s="23" t="str">
        <f>INDEX(Données!$F$2:$F$101,MATCH(K15,Données!$C$2:$C$101,0))</f>
        <v>Inconnu</v>
      </c>
      <c r="I15" s="10" t="s">
        <v>249</v>
      </c>
      <c r="J15" s="10" t="s">
        <v>245</v>
      </c>
      <c r="K15" s="31" t="s">
        <v>189</v>
      </c>
    </row>
    <row r="16" spans="1:11" ht="42" customHeight="1">
      <c r="A16" s="23">
        <v>7</v>
      </c>
      <c r="B16" s="9" t="s">
        <v>158</v>
      </c>
      <c r="C16" s="10" t="str">
        <f>INDEX(Données!$E$2:$E$101,MATCH(K16,Données!$C$2:$C$101,0))</f>
        <v>Animaux</v>
      </c>
      <c r="D16" s="11">
        <f>COUNTIF(Données!$C$2:$C$101,K16)</f>
        <v>1</v>
      </c>
      <c r="E16" s="12">
        <f>SUMIF(Données!$C$2:$C$101,K16,Données!$L$2:$L$101)</f>
        <v>13200000</v>
      </c>
      <c r="F16" s="30">
        <f>(SUMIF(Données!$C$2:$C$101,K16,Données!$M$2:$M$101)+SUMIF(Données!$C$2:$C$101,K16,Données!$N$2:$N$101)+SUMIF(Données!$C$2:$C$101,K16,Données!$O$2:$O$101))/E16</f>
        <v>0.17941666666666667</v>
      </c>
      <c r="G16" s="17">
        <f>F16/Succès!$E$10</f>
        <v>1.680374947644006</v>
      </c>
      <c r="H16" s="23" t="str">
        <f>INDEX(Données!$F$2:$F$101,MATCH(K16,Données!$C$2:$C$101,0))</f>
        <v>Oui</v>
      </c>
      <c r="I16" s="10" t="s">
        <v>250</v>
      </c>
      <c r="J16" s="10" t="s">
        <v>243</v>
      </c>
      <c r="K16" s="31" t="s">
        <v>157</v>
      </c>
    </row>
    <row r="17" spans="1:11" ht="42" customHeight="1">
      <c r="A17" s="23">
        <v>8</v>
      </c>
      <c r="B17" s="9" t="s">
        <v>126</v>
      </c>
      <c r="C17" s="10" t="str">
        <f>INDEX(Données!$E$2:$E$101,MATCH(K17,Données!$C$2:$C$101,0))</f>
        <v>Famille &amp; enfants</v>
      </c>
      <c r="D17" s="11">
        <f>COUNTIF(Données!$C$2:$C$101,K17)</f>
        <v>1</v>
      </c>
      <c r="E17" s="12">
        <f>SUMIF(Données!$C$2:$C$101,K17,Données!$L$2:$L$101)</f>
        <v>33500000</v>
      </c>
      <c r="F17" s="30">
        <f>(SUMIF(Données!$C$2:$C$101,K17,Données!$M$2:$M$101)+SUMIF(Données!$C$2:$C$101,K17,Données!$N$2:$N$101)+SUMIF(Données!$C$2:$C$101,K17,Données!$O$2:$O$101))/E17</f>
        <v>0.17048358208955225</v>
      </c>
      <c r="G17" s="17">
        <f>F17/Succès!$E$10</f>
        <v>1.5967097463700546</v>
      </c>
      <c r="H17" s="23" t="str">
        <f>INDEX(Données!$F$2:$F$101,MATCH(K17,Données!$C$2:$C$101,0))</f>
        <v>Non</v>
      </c>
      <c r="I17" s="10" t="s">
        <v>251</v>
      </c>
      <c r="J17" s="10" t="s">
        <v>252</v>
      </c>
      <c r="K17" s="31" t="s">
        <v>164</v>
      </c>
    </row>
    <row r="18" spans="1:11" ht="42" customHeight="1">
      <c r="A18" s="23">
        <v>9</v>
      </c>
      <c r="B18" s="9" t="s">
        <v>168</v>
      </c>
      <c r="C18" s="10" t="str">
        <f>INDEX(Données!$E$2:$E$101,MATCH(K18,Données!$C$2:$C$101,0))</f>
        <v>Famille &amp; enfants</v>
      </c>
      <c r="D18" s="11">
        <f>COUNTIF(Données!$C$2:$C$101,K18)</f>
        <v>1</v>
      </c>
      <c r="E18" s="12">
        <f>SUMIF(Données!$C$2:$C$101,K18,Données!$L$2:$L$101)</f>
        <v>25000000</v>
      </c>
      <c r="F18" s="30">
        <f>(SUMIF(Données!$C$2:$C$101,K18,Données!$M$2:$M$101)+SUMIF(Données!$C$2:$C$101,K18,Données!$N$2:$N$101)+SUMIF(Données!$C$2:$C$101,K18,Données!$O$2:$O$101))/E18</f>
        <v>0.16617599999999999</v>
      </c>
      <c r="G18" s="17">
        <f>F18/Succès!$E$10</f>
        <v>1.5563659301422592</v>
      </c>
      <c r="H18" s="23" t="str">
        <f>INDEX(Données!$F$2:$F$101,MATCH(K18,Données!$C$2:$C$101,0))</f>
        <v>Inconnu</v>
      </c>
      <c r="I18" s="10" t="s">
        <v>253</v>
      </c>
      <c r="J18" s="10" t="s">
        <v>254</v>
      </c>
      <c r="K18" s="31" t="s">
        <v>167</v>
      </c>
    </row>
    <row r="19" spans="1:11" ht="42" customHeight="1">
      <c r="A19" s="23">
        <v>10</v>
      </c>
      <c r="B19" s="9" t="s">
        <v>166</v>
      </c>
      <c r="C19" s="10" t="str">
        <f>INDEX(Données!$E$2:$E$101,MATCH(K19,Données!$C$2:$C$101,0))</f>
        <v>Famille &amp; enfants</v>
      </c>
      <c r="D19" s="11">
        <f>COUNTIF(Données!$C$2:$C$101,K19)</f>
        <v>1</v>
      </c>
      <c r="E19" s="12">
        <f>SUMIF(Données!$C$2:$C$101,K19,Données!$L$2:$L$101)</f>
        <v>32200000</v>
      </c>
      <c r="F19" s="30">
        <f>(SUMIF(Données!$C$2:$C$101,K19,Données!$M$2:$M$101)+SUMIF(Données!$C$2:$C$101,K19,Données!$N$2:$N$101)+SUMIF(Données!$C$2:$C$101,K19,Données!$O$2:$O$101))/E19</f>
        <v>0.16485403726708076</v>
      </c>
      <c r="G19" s="17">
        <f>F19/Succès!$E$10</f>
        <v>1.5439847333482983</v>
      </c>
      <c r="H19" s="23" t="str">
        <f>INDEX(Données!$F$2:$F$101,MATCH(K19,Données!$C$2:$C$101,0))</f>
        <v>Non</v>
      </c>
      <c r="I19" s="10" t="s">
        <v>255</v>
      </c>
      <c r="J19" s="10" t="s">
        <v>252</v>
      </c>
      <c r="K19" s="31" t="s">
        <v>165</v>
      </c>
    </row>
    <row r="20" spans="1:11" ht="42" customHeight="1">
      <c r="A20" s="23">
        <v>11</v>
      </c>
      <c r="B20" s="9" t="s">
        <v>172</v>
      </c>
      <c r="C20" s="10" t="str">
        <f>INDEX(Données!$E$2:$E$101,MATCH(K20,Données!$C$2:$C$101,0))</f>
        <v>Food &amp; lifestyle</v>
      </c>
      <c r="D20" s="11">
        <f>COUNTIF(Données!$C$2:$C$101,K20)</f>
        <v>1</v>
      </c>
      <c r="E20" s="12">
        <f>SUMIF(Données!$C$2:$C$101,K20,Données!$L$2:$L$101)</f>
        <v>24900000</v>
      </c>
      <c r="F20" s="30">
        <f>(SUMIF(Données!$C$2:$C$101,K20,Données!$M$2:$M$101)+SUMIF(Données!$C$2:$C$101,K20,Données!$N$2:$N$101)+SUMIF(Données!$C$2:$C$101,K20,Données!$O$2:$O$101))/E20</f>
        <v>0.16186746987951808</v>
      </c>
      <c r="G20" s="17">
        <f>F20/Succès!$E$10</f>
        <v>1.5160132348763378</v>
      </c>
      <c r="H20" s="23" t="str">
        <f>INDEX(Données!$F$2:$F$101,MATCH(K20,Données!$C$2:$C$101,0))</f>
        <v>Inconnu</v>
      </c>
      <c r="I20" s="10" t="s">
        <v>256</v>
      </c>
      <c r="J20" s="10" t="s">
        <v>245</v>
      </c>
      <c r="K20" s="31" t="s">
        <v>171</v>
      </c>
    </row>
    <row r="22" spans="1:11" ht="21.75" customHeight="1">
      <c r="A22" s="49" t="s">
        <v>257</v>
      </c>
      <c r="B22" s="49"/>
      <c r="C22" s="49"/>
      <c r="D22" s="49"/>
      <c r="E22" s="49"/>
      <c r="F22" s="49"/>
      <c r="G22" s="49"/>
      <c r="H22" s="49"/>
      <c r="I22" s="49"/>
      <c r="J22" s="49"/>
      <c r="K22" s="49"/>
    </row>
    <row r="23" spans="1:11" ht="31.5" customHeight="1">
      <c r="A23" s="56" t="s">
        <v>143</v>
      </c>
      <c r="B23" s="56" t="s">
        <v>20</v>
      </c>
      <c r="C23" s="56" t="s">
        <v>258</v>
      </c>
      <c r="D23" s="56" t="s">
        <v>36</v>
      </c>
      <c r="E23" s="56" t="s">
        <v>259</v>
      </c>
      <c r="F23" s="56" t="s">
        <v>22</v>
      </c>
      <c r="G23" s="56" t="s">
        <v>237</v>
      </c>
      <c r="H23" s="56" t="s">
        <v>92</v>
      </c>
      <c r="I23" s="56" t="s">
        <v>238</v>
      </c>
      <c r="J23" s="56" t="s">
        <v>239</v>
      </c>
      <c r="K23" s="56" t="s">
        <v>144</v>
      </c>
    </row>
    <row r="24" spans="1:11" ht="36" customHeight="1">
      <c r="A24" s="23">
        <v>1</v>
      </c>
      <c r="B24" s="9" t="s">
        <v>260</v>
      </c>
      <c r="C24" s="11">
        <f>INDEX(Données!$G$302:$G$401,MATCH(K24,Données!$C$302:$C$401,0))</f>
        <v>499800</v>
      </c>
      <c r="D24" s="11">
        <f>COUNTIF(Données!$C$302:$C$401,K24)</f>
        <v>1</v>
      </c>
      <c r="E24" s="12">
        <f>SUMIF(Données!$C$302:$C$401,K24,Données!$L$302:$L$401)</f>
        <v>28800000</v>
      </c>
      <c r="F24" s="30">
        <f>(SUMIF(Données!$C$302:$C$401,K24,Données!$M$302:$M$401)+SUMIF(Données!$C$302:$C$401,K24,Données!$N$302:$N$401)+SUMIF(Données!$C$302:$C$401,K24,Données!$O$302:$O$401))/E24</f>
        <v>0.29521527777777778</v>
      </c>
      <c r="G24" s="17">
        <f>F24/Succès!$E$13</f>
        <v>1.8057391693429041</v>
      </c>
      <c r="H24" s="23" t="str">
        <f>INDEX(Données!$F$302:$F$401,MATCH(K24,Données!$C$302:$C$401,0))</f>
        <v>Non</v>
      </c>
      <c r="I24" s="10" t="s">
        <v>261</v>
      </c>
      <c r="J24" s="10" t="s">
        <v>247</v>
      </c>
      <c r="K24" s="31" t="s">
        <v>262</v>
      </c>
    </row>
    <row r="25" spans="1:11" ht="36" customHeight="1">
      <c r="A25" s="23">
        <v>2</v>
      </c>
      <c r="B25" s="9" t="s">
        <v>263</v>
      </c>
      <c r="C25" s="11">
        <f>INDEX(Données!$G$302:$G$401,MATCH(K25,Données!$C$302:$C$401,0))</f>
        <v>958100</v>
      </c>
      <c r="D25" s="11">
        <f>COUNTIF(Données!$C$302:$C$401,K25)</f>
        <v>1</v>
      </c>
      <c r="E25" s="12">
        <f>SUMIF(Données!$C$302:$C$401,K25,Données!$L$302:$L$401)</f>
        <v>27700000</v>
      </c>
      <c r="F25" s="30">
        <f>(SUMIF(Données!$C$302:$C$401,K25,Données!$M$302:$M$401)+SUMIF(Données!$C$302:$C$401,K25,Données!$N$302:$N$401)+SUMIF(Données!$C$302:$C$401,K25,Données!$O$302:$O$401))/E25</f>
        <v>0.25846209386281588</v>
      </c>
      <c r="G25" s="17">
        <f>F25/Succès!$E$13</f>
        <v>1.5809314822445841</v>
      </c>
      <c r="H25" s="23" t="str">
        <f>INDEX(Données!$F$302:$F$401,MATCH(K25,Données!$C$302:$C$401,0))</f>
        <v>Non</v>
      </c>
      <c r="I25" s="10" t="s">
        <v>264</v>
      </c>
      <c r="J25" s="10" t="s">
        <v>247</v>
      </c>
      <c r="K25" s="31" t="s">
        <v>265</v>
      </c>
    </row>
    <row r="26" spans="1:11" ht="36" customHeight="1">
      <c r="A26" s="23">
        <v>3</v>
      </c>
      <c r="B26" s="9" t="s">
        <v>266</v>
      </c>
      <c r="C26" s="11">
        <f>INDEX(Données!$G$302:$G$401,MATCH(K26,Données!$C$302:$C$401,0))</f>
        <v>144200</v>
      </c>
      <c r="D26" s="11">
        <f>COUNTIF(Données!$C$302:$C$401,K26)</f>
        <v>1</v>
      </c>
      <c r="E26" s="12">
        <f>SUMIF(Données!$C$302:$C$401,K26,Données!$L$302:$L$401)</f>
        <v>46100000</v>
      </c>
      <c r="F26" s="30">
        <f>(SUMIF(Données!$C$302:$C$401,K26,Données!$M$302:$M$401)+SUMIF(Données!$C$302:$C$401,K26,Données!$N$302:$N$401)+SUMIF(Données!$C$302:$C$401,K26,Données!$O$302:$O$401))/E26</f>
        <v>0.25637093275488071</v>
      </c>
      <c r="G26" s="17">
        <f>F26/Succès!$E$13</f>
        <v>1.5681405062814515</v>
      </c>
      <c r="H26" s="23" t="str">
        <f>INDEX(Données!$F$302:$F$401,MATCH(K26,Données!$C$302:$C$401,0))</f>
        <v>Non</v>
      </c>
      <c r="I26" s="10" t="s">
        <v>267</v>
      </c>
      <c r="J26" s="10" t="s">
        <v>247</v>
      </c>
      <c r="K26" s="31" t="s">
        <v>268</v>
      </c>
    </row>
    <row r="27" spans="1:11" ht="36" customHeight="1">
      <c r="A27" s="23">
        <v>4</v>
      </c>
      <c r="B27" s="9" t="s">
        <v>269</v>
      </c>
      <c r="C27" s="11">
        <f>INDEX(Données!$G$302:$G$401,MATCH(K27,Données!$C$302:$C$401,0))</f>
        <v>1300000</v>
      </c>
      <c r="D27" s="11">
        <f>COUNTIF(Données!$C$302:$C$401,K27)</f>
        <v>1</v>
      </c>
      <c r="E27" s="12">
        <f>SUMIF(Données!$C$302:$C$401,K27,Données!$L$302:$L$401)</f>
        <v>34000000</v>
      </c>
      <c r="F27" s="30">
        <f>(SUMIF(Données!$C$302:$C$401,K27,Données!$M$302:$M$401)+SUMIF(Données!$C$302:$C$401,K27,Données!$N$302:$N$401)+SUMIF(Données!$C$302:$C$401,K27,Données!$O$302:$O$401))/E27</f>
        <v>0.23399705882352942</v>
      </c>
      <c r="G27" s="17">
        <f>F27/Succès!$E$13</f>
        <v>1.4312865438717111</v>
      </c>
      <c r="H27" s="23" t="str">
        <f>INDEX(Données!$F$302:$F$401,MATCH(K27,Données!$C$302:$C$401,0))</f>
        <v>Non</v>
      </c>
      <c r="I27" s="10" t="s">
        <v>270</v>
      </c>
      <c r="J27" s="10" t="s">
        <v>247</v>
      </c>
      <c r="K27" s="31" t="s">
        <v>271</v>
      </c>
    </row>
    <row r="28" spans="1:11" ht="36" customHeight="1">
      <c r="A28" s="23">
        <v>5</v>
      </c>
      <c r="B28" s="9" t="s">
        <v>272</v>
      </c>
      <c r="C28" s="11">
        <f>INDEX(Données!$G$302:$G$401,MATCH(K28,Données!$C$302:$C$401,0))</f>
        <v>168400</v>
      </c>
      <c r="D28" s="11">
        <f>COUNTIF(Données!$C$302:$C$401,K28)</f>
        <v>1</v>
      </c>
      <c r="E28" s="12">
        <f>SUMIF(Données!$C$302:$C$401,K28,Données!$L$302:$L$401)</f>
        <v>59400000</v>
      </c>
      <c r="F28" s="30">
        <f>(SUMIF(Données!$C$302:$C$401,K28,Données!$M$302:$M$401)+SUMIF(Données!$C$302:$C$401,K28,Données!$N$302:$N$401)+SUMIF(Données!$C$302:$C$401,K28,Données!$O$302:$O$401))/E28</f>
        <v>0.2334107744107744</v>
      </c>
      <c r="G28" s="17">
        <f>F28/Succès!$E$13</f>
        <v>1.4277004261868267</v>
      </c>
      <c r="H28" s="23" t="str">
        <f>INDEX(Données!$F$302:$F$401,MATCH(K28,Données!$C$302:$C$401,0))</f>
        <v>Non</v>
      </c>
      <c r="I28" s="10" t="s">
        <v>273</v>
      </c>
      <c r="J28" s="10" t="s">
        <v>247</v>
      </c>
      <c r="K28" s="31" t="s">
        <v>274</v>
      </c>
    </row>
    <row r="29" spans="1:11" ht="36" customHeight="1">
      <c r="A29" s="23">
        <v>6</v>
      </c>
      <c r="B29" s="9" t="s">
        <v>275</v>
      </c>
      <c r="C29" s="11">
        <f>INDEX(Données!$G$302:$G$401,MATCH(K29,Données!$C$302:$C$401,0))</f>
        <v>1000000</v>
      </c>
      <c r="D29" s="11">
        <f>COUNTIF(Données!$C$302:$C$401,K29)</f>
        <v>1</v>
      </c>
      <c r="E29" s="12">
        <f>SUMIF(Données!$C$302:$C$401,K29,Données!$L$302:$L$401)</f>
        <v>44200000</v>
      </c>
      <c r="F29" s="30">
        <f>(SUMIF(Données!$C$302:$C$401,K29,Données!$M$302:$M$401)+SUMIF(Données!$C$302:$C$401,K29,Données!$N$302:$N$401)+SUMIF(Données!$C$302:$C$401,K29,Données!$O$302:$O$401))/E29</f>
        <v>0.23197963800904978</v>
      </c>
      <c r="G29" s="17">
        <f>F29/Succès!$E$13</f>
        <v>1.4189466141323843</v>
      </c>
      <c r="H29" s="23" t="str">
        <f>INDEX(Données!$F$302:$F$401,MATCH(K29,Données!$C$302:$C$401,0))</f>
        <v>Non</v>
      </c>
      <c r="I29" s="10" t="s">
        <v>276</v>
      </c>
      <c r="J29" s="10" t="s">
        <v>247</v>
      </c>
      <c r="K29" s="31" t="s">
        <v>277</v>
      </c>
    </row>
    <row r="30" spans="1:11" ht="36" customHeight="1">
      <c r="A30" s="23">
        <v>7</v>
      </c>
      <c r="B30" s="9" t="s">
        <v>278</v>
      </c>
      <c r="C30" s="11">
        <f>INDEX(Données!$G$302:$G$401,MATCH(K30,Données!$C$302:$C$401,0))</f>
        <v>158600</v>
      </c>
      <c r="D30" s="11">
        <f>COUNTIF(Données!$C$302:$C$401,K30)</f>
        <v>1</v>
      </c>
      <c r="E30" s="12">
        <f>SUMIF(Données!$C$302:$C$401,K30,Données!$L$302:$L$401)</f>
        <v>42800000</v>
      </c>
      <c r="F30" s="30">
        <f>(SUMIF(Données!$C$302:$C$401,K30,Données!$M$302:$M$401)+SUMIF(Données!$C$302:$C$401,K30,Données!$N$302:$N$401)+SUMIF(Données!$C$302:$C$401,K30,Données!$O$302:$O$401))/E30</f>
        <v>0.22969158878504672</v>
      </c>
      <c r="G30" s="17">
        <f>F30/Succès!$E$13</f>
        <v>1.4049513353776142</v>
      </c>
      <c r="H30" s="23" t="str">
        <f>INDEX(Données!$F$302:$F$401,MATCH(K30,Données!$C$302:$C$401,0))</f>
        <v>Non</v>
      </c>
      <c r="I30" s="10" t="s">
        <v>279</v>
      </c>
      <c r="J30" s="10" t="s">
        <v>247</v>
      </c>
      <c r="K30" s="31" t="s">
        <v>280</v>
      </c>
    </row>
    <row r="31" spans="1:11" ht="36" customHeight="1">
      <c r="A31" s="23">
        <v>8</v>
      </c>
      <c r="B31" s="9" t="s">
        <v>281</v>
      </c>
      <c r="C31" s="11">
        <f>INDEX(Données!$G$302:$G$401,MATCH(K31,Données!$C$302:$C$401,0))</f>
        <v>74300</v>
      </c>
      <c r="D31" s="11">
        <f>COUNTIF(Données!$C$302:$C$401,K31)</f>
        <v>1</v>
      </c>
      <c r="E31" s="12">
        <f>SUMIF(Données!$C$302:$C$401,K31,Données!$L$302:$L$401)</f>
        <v>31500000</v>
      </c>
      <c r="F31" s="30">
        <f>(SUMIF(Données!$C$302:$C$401,K31,Données!$M$302:$M$401)+SUMIF(Données!$C$302:$C$401,K31,Données!$N$302:$N$401)+SUMIF(Données!$C$302:$C$401,K31,Données!$O$302:$O$401))/E31</f>
        <v>0.22853015873015872</v>
      </c>
      <c r="G31" s="17">
        <f>F31/Succès!$E$13</f>
        <v>1.3978472323706483</v>
      </c>
      <c r="H31" s="23" t="str">
        <f>INDEX(Données!$F$302:$F$401,MATCH(K31,Données!$C$302:$C$401,0))</f>
        <v>Non</v>
      </c>
      <c r="I31" s="10" t="s">
        <v>282</v>
      </c>
      <c r="J31" s="10" t="s">
        <v>247</v>
      </c>
      <c r="K31" s="31" t="s">
        <v>283</v>
      </c>
    </row>
    <row r="33" spans="1:11" ht="21.75" customHeight="1"/>
    <row r="34" spans="1:11" ht="15" customHeight="1">
      <c r="A34" s="38"/>
      <c r="B34" s="38"/>
      <c r="C34" s="38"/>
      <c r="D34" s="38"/>
      <c r="E34" s="38"/>
      <c r="F34" s="38"/>
      <c r="G34" s="38"/>
      <c r="H34" s="38"/>
      <c r="I34" s="38"/>
      <c r="J34" s="38"/>
      <c r="K34" s="38"/>
    </row>
    <row r="35" spans="1:11" ht="15" customHeight="1">
      <c r="A35" s="38"/>
      <c r="B35" s="38"/>
      <c r="C35" s="38"/>
      <c r="D35" s="38"/>
      <c r="E35" s="38"/>
      <c r="F35" s="38"/>
      <c r="G35" s="38"/>
      <c r="H35" s="38"/>
      <c r="I35" s="38"/>
      <c r="J35" s="38"/>
      <c r="K35" s="38"/>
    </row>
    <row r="36" spans="1:11" ht="15" customHeight="1">
      <c r="A36" s="38"/>
      <c r="B36" s="38"/>
      <c r="C36" s="38"/>
      <c r="D36" s="38"/>
      <c r="E36" s="38"/>
      <c r="F36" s="38"/>
      <c r="G36" s="38"/>
      <c r="H36" s="38"/>
      <c r="I36" s="38"/>
      <c r="J36" s="38"/>
      <c r="K36" s="38"/>
    </row>
  </sheetData>
  <mergeCells count="10">
    <mergeCell ref="A36:K36"/>
    <mergeCell ref="A8:K8"/>
    <mergeCell ref="A22:K22"/>
    <mergeCell ref="A34:K34"/>
    <mergeCell ref="A35:K35"/>
    <mergeCell ref="A1:K1"/>
    <mergeCell ref="A2:K2"/>
    <mergeCell ref="A4:K4"/>
    <mergeCell ref="A5:K5"/>
    <mergeCell ref="A6:K6"/>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F7F7F"/>
    <pageSetUpPr fitToPage="1"/>
  </sheetPr>
  <dimension ref="A1:C27"/>
  <sheetViews>
    <sheetView showGridLines="0" topLeftCell="A30" zoomScaleNormal="100" workbookViewId="0">
      <selection activeCell="G11" sqref="G11"/>
    </sheetView>
  </sheetViews>
  <sheetFormatPr baseColWidth="10" defaultColWidth="8.6640625" defaultRowHeight="15"/>
  <cols>
    <col min="1" max="2" width="34" customWidth="1"/>
    <col min="3" max="3" width="100" customWidth="1"/>
  </cols>
  <sheetData>
    <row r="1" spans="1:3" ht="31.5" customHeight="1">
      <c r="A1" s="43" t="s">
        <v>284</v>
      </c>
      <c r="B1" s="43"/>
      <c r="C1" s="43"/>
    </row>
    <row r="2" spans="1:3" ht="27.75" customHeight="1">
      <c r="A2" s="44" t="s">
        <v>285</v>
      </c>
      <c r="B2" s="44"/>
      <c r="C2" s="44"/>
    </row>
    <row r="3" spans="1:3" ht="21.75" customHeight="1">
      <c r="A3" s="49" t="s">
        <v>286</v>
      </c>
      <c r="B3" s="49"/>
      <c r="C3" s="49"/>
    </row>
    <row r="4" spans="1:3" ht="31.5" customHeight="1">
      <c r="A4" s="56" t="s">
        <v>287</v>
      </c>
      <c r="B4" s="56" t="s">
        <v>288</v>
      </c>
      <c r="C4" s="56" t="s">
        <v>289</v>
      </c>
    </row>
    <row r="5" spans="1:3" ht="31.5" customHeight="1">
      <c r="A5" s="9" t="s">
        <v>290</v>
      </c>
      <c r="B5" s="10" t="s">
        <v>291</v>
      </c>
      <c r="C5" s="10" t="s">
        <v>292</v>
      </c>
    </row>
    <row r="6" spans="1:3" ht="31.5" customHeight="1">
      <c r="A6" s="9" t="s">
        <v>293</v>
      </c>
      <c r="B6" s="10" t="s">
        <v>294</v>
      </c>
      <c r="C6" s="10" t="s">
        <v>295</v>
      </c>
    </row>
    <row r="7" spans="1:3" ht="31.5" customHeight="1">
      <c r="A7" s="9" t="s">
        <v>975</v>
      </c>
      <c r="B7" s="10" t="s">
        <v>296</v>
      </c>
      <c r="C7" s="10" t="s">
        <v>297</v>
      </c>
    </row>
    <row r="8" spans="1:3" ht="31.5" customHeight="1">
      <c r="A8" s="9" t="s">
        <v>298</v>
      </c>
      <c r="B8" s="10" t="s">
        <v>299</v>
      </c>
      <c r="C8" s="10" t="s">
        <v>300</v>
      </c>
    </row>
    <row r="9" spans="1:3" ht="31.5" customHeight="1">
      <c r="A9" s="9" t="s">
        <v>976</v>
      </c>
      <c r="B9" s="10" t="s">
        <v>301</v>
      </c>
      <c r="C9" s="10" t="s">
        <v>302</v>
      </c>
    </row>
    <row r="11" spans="1:3" ht="21.75" customHeight="1">
      <c r="A11" s="49" t="s">
        <v>303</v>
      </c>
      <c r="B11" s="49"/>
      <c r="C11" s="49"/>
    </row>
    <row r="12" spans="1:3" ht="31.5" customHeight="1">
      <c r="A12" s="9" t="s">
        <v>22</v>
      </c>
      <c r="B12" s="45" t="s">
        <v>304</v>
      </c>
      <c r="C12" s="45"/>
    </row>
    <row r="13" spans="1:3" ht="31.5" customHeight="1">
      <c r="A13" s="9" t="s">
        <v>305</v>
      </c>
      <c r="B13" s="45" t="s">
        <v>306</v>
      </c>
      <c r="C13" s="45"/>
    </row>
    <row r="14" spans="1:3" ht="43.5" customHeight="1">
      <c r="A14" s="9" t="s">
        <v>307</v>
      </c>
      <c r="B14" s="45" t="s">
        <v>308</v>
      </c>
      <c r="C14" s="45"/>
    </row>
    <row r="15" spans="1:3" ht="31.5" customHeight="1">
      <c r="A15" s="9" t="s">
        <v>309</v>
      </c>
      <c r="B15" s="45" t="s">
        <v>310</v>
      </c>
      <c r="C15" s="45"/>
    </row>
    <row r="16" spans="1:3" ht="43.5" customHeight="1">
      <c r="A16" s="9" t="s">
        <v>311</v>
      </c>
      <c r="B16" s="45" t="s">
        <v>312</v>
      </c>
      <c r="C16" s="45"/>
    </row>
    <row r="18" spans="1:3" ht="21.75" customHeight="1">
      <c r="A18" s="49" t="s">
        <v>313</v>
      </c>
      <c r="B18" s="49"/>
      <c r="C18" s="49"/>
    </row>
    <row r="19" spans="1:3" ht="43.5" customHeight="1">
      <c r="A19" s="9" t="s">
        <v>314</v>
      </c>
      <c r="B19" s="45" t="s">
        <v>315</v>
      </c>
      <c r="C19" s="45"/>
    </row>
    <row r="20" spans="1:3" ht="43.5" customHeight="1">
      <c r="A20" s="9" t="s">
        <v>316</v>
      </c>
      <c r="B20" s="45" t="s">
        <v>317</v>
      </c>
      <c r="C20" s="45"/>
    </row>
    <row r="21" spans="1:3" ht="43.5" customHeight="1">
      <c r="A21" s="9" t="s">
        <v>318</v>
      </c>
      <c r="B21" s="45" t="s">
        <v>319</v>
      </c>
      <c r="C21" s="45"/>
    </row>
    <row r="23" spans="1:3" ht="21.75" customHeight="1">
      <c r="A23" s="49" t="s">
        <v>320</v>
      </c>
      <c r="B23" s="49"/>
      <c r="C23" s="49"/>
    </row>
    <row r="24" spans="1:3" ht="30" customHeight="1">
      <c r="A24" s="38" t="s">
        <v>321</v>
      </c>
      <c r="B24" s="38"/>
      <c r="C24" s="38"/>
    </row>
    <row r="25" spans="1:3" ht="30" customHeight="1">
      <c r="A25" s="38" t="s">
        <v>322</v>
      </c>
      <c r="B25" s="38"/>
      <c r="C25" s="38"/>
    </row>
    <row r="26" spans="1:3" ht="30" customHeight="1">
      <c r="A26" s="38" t="s">
        <v>323</v>
      </c>
      <c r="B26" s="38"/>
      <c r="C26" s="38"/>
    </row>
    <row r="27" spans="1:3" ht="30" customHeight="1">
      <c r="A27" s="38" t="s">
        <v>324</v>
      </c>
      <c r="B27" s="38"/>
      <c r="C27" s="38"/>
    </row>
  </sheetData>
  <mergeCells count="18">
    <mergeCell ref="A25:C25"/>
    <mergeCell ref="A26:C26"/>
    <mergeCell ref="A27:C27"/>
    <mergeCell ref="B19:C19"/>
    <mergeCell ref="B20:C20"/>
    <mergeCell ref="B21:C21"/>
    <mergeCell ref="A23:C23"/>
    <mergeCell ref="A24:C24"/>
    <mergeCell ref="B13:C13"/>
    <mergeCell ref="B14:C14"/>
    <mergeCell ref="B15:C15"/>
    <mergeCell ref="B16:C16"/>
    <mergeCell ref="A18:C18"/>
    <mergeCell ref="A1:C1"/>
    <mergeCell ref="A2:C2"/>
    <mergeCell ref="A3:C3"/>
    <mergeCell ref="A11:C11"/>
    <mergeCell ref="B12:C12"/>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7F7F"/>
    <pageSetUpPr fitToPage="1"/>
  </sheetPr>
  <dimension ref="A1:T401"/>
  <sheetViews>
    <sheetView zoomScaleNormal="100" workbookViewId="0">
      <pane xSplit="3" ySplit="1" topLeftCell="D3" activePane="bottomRight" state="frozen"/>
      <selection pane="topRight" activeCell="D1" sqref="D1"/>
      <selection pane="bottomLeft" activeCell="A2" sqref="A2"/>
      <selection pane="bottomRight" activeCell="X13" sqref="X13"/>
    </sheetView>
  </sheetViews>
  <sheetFormatPr baseColWidth="10" defaultColWidth="8.6640625" defaultRowHeight="15"/>
  <cols>
    <col min="1" max="1" width="11" customWidth="1"/>
    <col min="2" max="2" width="10" customWidth="1"/>
    <col min="3" max="3" width="12" customWidth="1"/>
    <col min="4" max="4" width="26" customWidth="1"/>
    <col min="5" max="5" width="20" customWidth="1"/>
    <col min="6" max="6" width="11" customWidth="1"/>
    <col min="7" max="7" width="12" customWidth="1"/>
    <col min="8" max="9" width="9" customWidth="1"/>
    <col min="10" max="11" width="11" customWidth="1"/>
    <col min="12" max="12" width="14" customWidth="1"/>
    <col min="13" max="15" width="13" customWidth="1"/>
    <col min="16" max="16" width="12" customWidth="1"/>
    <col min="17" max="18" width="11" customWidth="1"/>
    <col min="19" max="19" width="24" customWidth="1"/>
    <col min="20" max="20" width="10" customWidth="1"/>
  </cols>
  <sheetData>
    <row r="1" spans="1:20" ht="45" customHeight="1">
      <c r="A1" s="56" t="s">
        <v>21</v>
      </c>
      <c r="B1" s="56" t="s">
        <v>325</v>
      </c>
      <c r="C1" s="56" t="s">
        <v>326</v>
      </c>
      <c r="D1" s="56" t="s">
        <v>327</v>
      </c>
      <c r="E1" s="56" t="s">
        <v>328</v>
      </c>
      <c r="F1" s="56" t="s">
        <v>92</v>
      </c>
      <c r="G1" s="56" t="s">
        <v>258</v>
      </c>
      <c r="H1" s="56" t="s">
        <v>329</v>
      </c>
      <c r="I1" s="56" t="s">
        <v>330</v>
      </c>
      <c r="J1" s="56" t="s">
        <v>331</v>
      </c>
      <c r="K1" s="56" t="s">
        <v>332</v>
      </c>
      <c r="L1" s="56" t="s">
        <v>259</v>
      </c>
      <c r="M1" s="56" t="s">
        <v>333</v>
      </c>
      <c r="N1" s="56" t="s">
        <v>334</v>
      </c>
      <c r="O1" s="56" t="s">
        <v>335</v>
      </c>
      <c r="P1" s="56" t="s">
        <v>22</v>
      </c>
      <c r="Q1" s="56" t="s">
        <v>336</v>
      </c>
      <c r="R1" s="56" t="s">
        <v>337</v>
      </c>
      <c r="S1" s="56" t="s">
        <v>338</v>
      </c>
      <c r="T1" s="56" t="s">
        <v>339</v>
      </c>
    </row>
    <row r="2" spans="1:20">
      <c r="A2" s="32" t="s">
        <v>25</v>
      </c>
      <c r="B2" s="32" t="s">
        <v>340</v>
      </c>
      <c r="C2" s="32" t="s">
        <v>175</v>
      </c>
      <c r="D2" s="32" t="s">
        <v>133</v>
      </c>
      <c r="E2" s="32" t="s">
        <v>131</v>
      </c>
      <c r="F2" s="32" t="s">
        <v>341</v>
      </c>
      <c r="G2" s="33"/>
      <c r="H2" s="32">
        <v>18</v>
      </c>
      <c r="I2" s="32">
        <v>2</v>
      </c>
      <c r="J2" s="32">
        <v>26</v>
      </c>
      <c r="K2" s="32">
        <v>0</v>
      </c>
      <c r="L2" s="33">
        <v>9700000</v>
      </c>
      <c r="M2" s="33">
        <v>3600000</v>
      </c>
      <c r="N2" s="33">
        <v>212900</v>
      </c>
      <c r="O2" s="33">
        <v>109500</v>
      </c>
      <c r="P2" s="34">
        <f t="shared" ref="P2:P65" si="0">(M2+N2+O2)/L2</f>
        <v>0.40437113402061858</v>
      </c>
      <c r="Q2" s="34">
        <f t="shared" ref="Q2:Q65" si="1">M2/L2</f>
        <v>0.37113402061855671</v>
      </c>
      <c r="R2" s="35" t="str">
        <f t="shared" ref="R2:R65" si="2">IF(G2="","",L2/G2)</f>
        <v/>
      </c>
      <c r="S2" s="32" t="str">
        <f>IF(AND(L2&gt;=INDEX(Succès!$D$10:$D$13,MATCH(A2,Succès!$A$10:$A$13,0)),P2&gt;=INDEX(Succès!$E$10:$E$13,MATCH(A2,Succès!$A$10:$A$13,0))),"Succès complet",IF(P2&gt;=INDEX(Succès!$E$10:$E$13,MATCH(A2,Succès!$A$10:$A$13,0)),"Engagé, portée modeste",IF(L2&gt;=INDEX(Succès!$D$10:$D$13,MATCH(A2,Succès!$A$10:$A$13,0)),"Portée sans engagement","Standard")))</f>
        <v>Engagé, portée modeste</v>
      </c>
      <c r="T2" s="32">
        <f t="shared" ref="T2:T65" si="3">IF(S2="Succès complet",1,0)</f>
        <v>0</v>
      </c>
    </row>
    <row r="3" spans="1:20">
      <c r="A3" s="32" t="s">
        <v>25</v>
      </c>
      <c r="B3" s="32" t="s">
        <v>342</v>
      </c>
      <c r="C3" s="32" t="s">
        <v>343</v>
      </c>
      <c r="D3" s="32"/>
      <c r="E3" s="32" t="s">
        <v>116</v>
      </c>
      <c r="F3" s="32" t="s">
        <v>344</v>
      </c>
      <c r="G3" s="33"/>
      <c r="H3" s="32">
        <v>9</v>
      </c>
      <c r="I3" s="32">
        <v>0</v>
      </c>
      <c r="J3" s="32">
        <v>4</v>
      </c>
      <c r="K3" s="32">
        <v>0</v>
      </c>
      <c r="L3" s="33">
        <v>34800000</v>
      </c>
      <c r="M3" s="33">
        <v>2500000</v>
      </c>
      <c r="N3" s="33">
        <v>31100</v>
      </c>
      <c r="O3" s="33">
        <v>233300</v>
      </c>
      <c r="P3" s="34">
        <f t="shared" si="0"/>
        <v>7.94367816091954E-2</v>
      </c>
      <c r="Q3" s="34">
        <f t="shared" si="1"/>
        <v>7.183908045977011E-2</v>
      </c>
      <c r="R3" s="35" t="str">
        <f t="shared" si="2"/>
        <v/>
      </c>
      <c r="S3" s="32" t="str">
        <f>IF(AND(L3&gt;=INDEX(Succès!$D$10:$D$13,MATCH(A3,Succès!$A$10:$A$13,0)),P3&gt;=INDEX(Succès!$E$10:$E$13,MATCH(A3,Succès!$A$10:$A$13,0))),"Succès complet",IF(P3&gt;=INDEX(Succès!$E$10:$E$13,MATCH(A3,Succès!$A$10:$A$13,0)),"Engagé, portée modeste",IF(L3&gt;=INDEX(Succès!$D$10:$D$13,MATCH(A3,Succès!$A$10:$A$13,0)),"Portée sans engagement","Standard")))</f>
        <v>Portée sans engagement</v>
      </c>
      <c r="T3" s="32">
        <f t="shared" si="3"/>
        <v>0</v>
      </c>
    </row>
    <row r="4" spans="1:20">
      <c r="A4" s="32" t="s">
        <v>25</v>
      </c>
      <c r="B4" s="32" t="s">
        <v>345</v>
      </c>
      <c r="C4" s="32" t="s">
        <v>156</v>
      </c>
      <c r="D4" s="32"/>
      <c r="E4" s="32" t="s">
        <v>120</v>
      </c>
      <c r="F4" s="32" t="s">
        <v>346</v>
      </c>
      <c r="G4" s="33"/>
      <c r="H4" s="32">
        <v>10</v>
      </c>
      <c r="I4" s="32">
        <v>11</v>
      </c>
      <c r="J4" s="32">
        <v>117</v>
      </c>
      <c r="K4" s="32">
        <v>1</v>
      </c>
      <c r="L4" s="33">
        <v>45100000</v>
      </c>
      <c r="M4" s="33">
        <v>4000000</v>
      </c>
      <c r="N4" s="33">
        <v>122500</v>
      </c>
      <c r="O4" s="33">
        <v>306500</v>
      </c>
      <c r="P4" s="34">
        <f t="shared" si="0"/>
        <v>9.8203991130820401E-2</v>
      </c>
      <c r="Q4" s="34">
        <f t="shared" si="1"/>
        <v>8.8691796008869186E-2</v>
      </c>
      <c r="R4" s="35" t="str">
        <f t="shared" si="2"/>
        <v/>
      </c>
      <c r="S4" s="32" t="str">
        <f>IF(AND(L4&gt;=INDEX(Succès!$D$10:$D$13,MATCH(A4,Succès!$A$10:$A$13,0)),P4&gt;=INDEX(Succès!$E$10:$E$13,MATCH(A4,Succès!$A$10:$A$13,0))),"Succès complet",IF(P4&gt;=INDEX(Succès!$E$10:$E$13,MATCH(A4,Succès!$A$10:$A$13,0)),"Engagé, portée modeste",IF(L4&gt;=INDEX(Succès!$D$10:$D$13,MATCH(A4,Succès!$A$10:$A$13,0)),"Portée sans engagement","Standard")))</f>
        <v>Portée sans engagement</v>
      </c>
      <c r="T4" s="32">
        <f t="shared" si="3"/>
        <v>0</v>
      </c>
    </row>
    <row r="5" spans="1:20">
      <c r="A5" s="32" t="s">
        <v>25</v>
      </c>
      <c r="B5" s="32" t="s">
        <v>347</v>
      </c>
      <c r="C5" s="32" t="s">
        <v>151</v>
      </c>
      <c r="D5" s="32"/>
      <c r="E5" s="32" t="s">
        <v>116</v>
      </c>
      <c r="F5" s="32" t="s">
        <v>346</v>
      </c>
      <c r="G5" s="33"/>
      <c r="H5" s="32">
        <v>27</v>
      </c>
      <c r="I5" s="32">
        <v>4</v>
      </c>
      <c r="J5" s="32">
        <v>69</v>
      </c>
      <c r="K5" s="32">
        <v>0</v>
      </c>
      <c r="L5" s="33">
        <v>101200000</v>
      </c>
      <c r="M5" s="33">
        <v>11300000</v>
      </c>
      <c r="N5" s="33">
        <v>125200</v>
      </c>
      <c r="O5" s="33">
        <v>908100</v>
      </c>
      <c r="P5" s="34">
        <f t="shared" si="0"/>
        <v>0.12187055335968379</v>
      </c>
      <c r="Q5" s="34">
        <f t="shared" si="1"/>
        <v>0.11166007905138339</v>
      </c>
      <c r="R5" s="35" t="str">
        <f t="shared" si="2"/>
        <v/>
      </c>
      <c r="S5" s="32" t="str">
        <f>IF(AND(L5&gt;=INDEX(Succès!$D$10:$D$13,MATCH(A5,Succès!$A$10:$A$13,0)),P5&gt;=INDEX(Succès!$E$10:$E$13,MATCH(A5,Succès!$A$10:$A$13,0))),"Succès complet",IF(P5&gt;=INDEX(Succès!$E$10:$E$13,MATCH(A5,Succès!$A$10:$A$13,0)),"Engagé, portée modeste",IF(L5&gt;=INDEX(Succès!$D$10:$D$13,MATCH(A5,Succès!$A$10:$A$13,0)),"Portée sans engagement","Standard")))</f>
        <v>Succès complet</v>
      </c>
      <c r="T5" s="32">
        <f t="shared" si="3"/>
        <v>1</v>
      </c>
    </row>
    <row r="6" spans="1:20">
      <c r="A6" s="32" t="s">
        <v>25</v>
      </c>
      <c r="B6" s="32" t="s">
        <v>348</v>
      </c>
      <c r="C6" s="32" t="s">
        <v>349</v>
      </c>
      <c r="D6" s="32"/>
      <c r="E6" s="32" t="s">
        <v>131</v>
      </c>
      <c r="F6" s="32" t="s">
        <v>341</v>
      </c>
      <c r="G6" s="33"/>
      <c r="H6" s="32">
        <v>15</v>
      </c>
      <c r="I6" s="32">
        <v>1</v>
      </c>
      <c r="J6" s="32">
        <v>20</v>
      </c>
      <c r="K6" s="32">
        <v>0</v>
      </c>
      <c r="L6" s="33">
        <v>27900000</v>
      </c>
      <c r="M6" s="33">
        <v>2700000</v>
      </c>
      <c r="N6" s="33">
        <v>59700</v>
      </c>
      <c r="O6" s="33">
        <v>18300</v>
      </c>
      <c r="P6" s="34">
        <f t="shared" si="0"/>
        <v>9.9569892473118274E-2</v>
      </c>
      <c r="Q6" s="34">
        <f t="shared" si="1"/>
        <v>9.6774193548387094E-2</v>
      </c>
      <c r="R6" s="35" t="str">
        <f t="shared" si="2"/>
        <v/>
      </c>
      <c r="S6" s="32" t="str">
        <f>IF(AND(L6&gt;=INDEX(Succès!$D$10:$D$13,MATCH(A6,Succès!$A$10:$A$13,0)),P6&gt;=INDEX(Succès!$E$10:$E$13,MATCH(A6,Succès!$A$10:$A$13,0))),"Succès complet",IF(P6&gt;=INDEX(Succès!$E$10:$E$13,MATCH(A6,Succès!$A$10:$A$13,0)),"Engagé, portée modeste",IF(L6&gt;=INDEX(Succès!$D$10:$D$13,MATCH(A6,Succès!$A$10:$A$13,0)),"Portée sans engagement","Standard")))</f>
        <v>Portée sans engagement</v>
      </c>
      <c r="T6" s="32">
        <f t="shared" si="3"/>
        <v>0</v>
      </c>
    </row>
    <row r="7" spans="1:20">
      <c r="A7" s="32" t="s">
        <v>25</v>
      </c>
      <c r="B7" s="32" t="s">
        <v>350</v>
      </c>
      <c r="C7" s="32" t="s">
        <v>351</v>
      </c>
      <c r="D7" s="32"/>
      <c r="E7" s="32" t="s">
        <v>116</v>
      </c>
      <c r="F7" s="32" t="s">
        <v>344</v>
      </c>
      <c r="G7" s="33"/>
      <c r="H7" s="32">
        <v>15</v>
      </c>
      <c r="I7" s="32">
        <v>11</v>
      </c>
      <c r="J7" s="32">
        <v>103</v>
      </c>
      <c r="K7" s="32">
        <v>1</v>
      </c>
      <c r="L7" s="33">
        <v>14900000</v>
      </c>
      <c r="M7" s="33">
        <v>616300</v>
      </c>
      <c r="N7" s="33">
        <v>9206</v>
      </c>
      <c r="O7" s="33">
        <v>101300</v>
      </c>
      <c r="P7" s="34">
        <f t="shared" si="0"/>
        <v>4.8778926174496647E-2</v>
      </c>
      <c r="Q7" s="34">
        <f t="shared" si="1"/>
        <v>4.1362416107382553E-2</v>
      </c>
      <c r="R7" s="35" t="str">
        <f t="shared" si="2"/>
        <v/>
      </c>
      <c r="S7" s="32" t="str">
        <f>IF(AND(L7&gt;=INDEX(Succès!$D$10:$D$13,MATCH(A7,Succès!$A$10:$A$13,0)),P7&gt;=INDEX(Succès!$E$10:$E$13,MATCH(A7,Succès!$A$10:$A$13,0))),"Succès complet",IF(P7&gt;=INDEX(Succès!$E$10:$E$13,MATCH(A7,Succès!$A$10:$A$13,0)),"Engagé, portée modeste",IF(L7&gt;=INDEX(Succès!$D$10:$D$13,MATCH(A7,Succès!$A$10:$A$13,0)),"Portée sans engagement","Standard")))</f>
        <v>Portée sans engagement</v>
      </c>
      <c r="T7" s="32">
        <f t="shared" si="3"/>
        <v>0</v>
      </c>
    </row>
    <row r="8" spans="1:20">
      <c r="A8" s="32" t="s">
        <v>25</v>
      </c>
      <c r="B8" s="32" t="s">
        <v>352</v>
      </c>
      <c r="C8" s="32" t="s">
        <v>353</v>
      </c>
      <c r="D8" s="32"/>
      <c r="E8" s="32" t="s">
        <v>116</v>
      </c>
      <c r="F8" s="32" t="s">
        <v>346</v>
      </c>
      <c r="G8" s="33"/>
      <c r="H8" s="32">
        <v>8</v>
      </c>
      <c r="I8" s="32">
        <v>4</v>
      </c>
      <c r="J8" s="32">
        <v>55</v>
      </c>
      <c r="K8" s="32">
        <v>0</v>
      </c>
      <c r="L8" s="33">
        <v>6100000</v>
      </c>
      <c r="M8" s="33">
        <v>247500</v>
      </c>
      <c r="N8" s="33">
        <v>1524</v>
      </c>
      <c r="O8" s="33">
        <v>80600</v>
      </c>
      <c r="P8" s="34">
        <f t="shared" si="0"/>
        <v>5.4036721311475411E-2</v>
      </c>
      <c r="Q8" s="34">
        <f t="shared" si="1"/>
        <v>4.0573770491803281E-2</v>
      </c>
      <c r="R8" s="35" t="str">
        <f t="shared" si="2"/>
        <v/>
      </c>
      <c r="S8" s="32" t="str">
        <f>IF(AND(L8&gt;=INDEX(Succès!$D$10:$D$13,MATCH(A8,Succès!$A$10:$A$13,0)),P8&gt;=INDEX(Succès!$E$10:$E$13,MATCH(A8,Succès!$A$10:$A$13,0))),"Succès complet",IF(P8&gt;=INDEX(Succès!$E$10:$E$13,MATCH(A8,Succès!$A$10:$A$13,0)),"Engagé, portée modeste",IF(L8&gt;=INDEX(Succès!$D$10:$D$13,MATCH(A8,Succès!$A$10:$A$13,0)),"Portée sans engagement","Standard")))</f>
        <v>Standard</v>
      </c>
      <c r="T8" s="32">
        <f t="shared" si="3"/>
        <v>0</v>
      </c>
    </row>
    <row r="9" spans="1:20">
      <c r="A9" s="32" t="s">
        <v>25</v>
      </c>
      <c r="B9" s="32" t="s">
        <v>354</v>
      </c>
      <c r="C9" s="32" t="s">
        <v>161</v>
      </c>
      <c r="D9" s="32"/>
      <c r="E9" s="32" t="s">
        <v>124</v>
      </c>
      <c r="F9" s="32" t="s">
        <v>346</v>
      </c>
      <c r="G9" s="33"/>
      <c r="H9" s="32">
        <v>8</v>
      </c>
      <c r="I9" s="32">
        <v>18</v>
      </c>
      <c r="J9" s="32">
        <v>149</v>
      </c>
      <c r="K9" s="32">
        <v>1</v>
      </c>
      <c r="L9" s="33">
        <v>79800000</v>
      </c>
      <c r="M9" s="33">
        <v>6000000</v>
      </c>
      <c r="N9" s="33">
        <v>38700</v>
      </c>
      <c r="O9" s="33">
        <v>82100</v>
      </c>
      <c r="P9" s="34">
        <f t="shared" si="0"/>
        <v>7.670175438596491E-2</v>
      </c>
      <c r="Q9" s="34">
        <f t="shared" si="1"/>
        <v>7.5187969924812026E-2</v>
      </c>
      <c r="R9" s="35" t="str">
        <f t="shared" si="2"/>
        <v/>
      </c>
      <c r="S9" s="32" t="str">
        <f>IF(AND(L9&gt;=INDEX(Succès!$D$10:$D$13,MATCH(A9,Succès!$A$10:$A$13,0)),P9&gt;=INDEX(Succès!$E$10:$E$13,MATCH(A9,Succès!$A$10:$A$13,0))),"Succès complet",IF(P9&gt;=INDEX(Succès!$E$10:$E$13,MATCH(A9,Succès!$A$10:$A$13,0)),"Engagé, portée modeste",IF(L9&gt;=INDEX(Succès!$D$10:$D$13,MATCH(A9,Succès!$A$10:$A$13,0)),"Portée sans engagement","Standard")))</f>
        <v>Portée sans engagement</v>
      </c>
      <c r="T9" s="32">
        <f t="shared" si="3"/>
        <v>0</v>
      </c>
    </row>
    <row r="10" spans="1:20">
      <c r="A10" s="32" t="s">
        <v>25</v>
      </c>
      <c r="B10" s="32" t="s">
        <v>355</v>
      </c>
      <c r="C10" s="32" t="s">
        <v>356</v>
      </c>
      <c r="D10" s="32"/>
      <c r="E10" s="32" t="s">
        <v>120</v>
      </c>
      <c r="F10" s="32" t="s">
        <v>346</v>
      </c>
      <c r="G10" s="33"/>
      <c r="H10" s="32">
        <v>9</v>
      </c>
      <c r="I10" s="32">
        <v>5</v>
      </c>
      <c r="J10" s="32">
        <v>26</v>
      </c>
      <c r="K10" s="32">
        <v>1</v>
      </c>
      <c r="L10" s="33">
        <v>31600000</v>
      </c>
      <c r="M10" s="33">
        <v>2600000</v>
      </c>
      <c r="N10" s="33">
        <v>100100</v>
      </c>
      <c r="O10" s="33">
        <v>516600</v>
      </c>
      <c r="P10" s="34">
        <f t="shared" si="0"/>
        <v>0.10179430379746836</v>
      </c>
      <c r="Q10" s="34">
        <f t="shared" si="1"/>
        <v>8.2278481012658222E-2</v>
      </c>
      <c r="R10" s="35" t="str">
        <f t="shared" si="2"/>
        <v/>
      </c>
      <c r="S10" s="32" t="str">
        <f>IF(AND(L10&gt;=INDEX(Succès!$D$10:$D$13,MATCH(A10,Succès!$A$10:$A$13,0)),P10&gt;=INDEX(Succès!$E$10:$E$13,MATCH(A10,Succès!$A$10:$A$13,0))),"Succès complet",IF(P10&gt;=INDEX(Succès!$E$10:$E$13,MATCH(A10,Succès!$A$10:$A$13,0)),"Engagé, portée modeste",IF(L10&gt;=INDEX(Succès!$D$10:$D$13,MATCH(A10,Succès!$A$10:$A$13,0)),"Portée sans engagement","Standard")))</f>
        <v>Portée sans engagement</v>
      </c>
      <c r="T10" s="32">
        <f t="shared" si="3"/>
        <v>0</v>
      </c>
    </row>
    <row r="11" spans="1:20">
      <c r="A11" s="32" t="s">
        <v>25</v>
      </c>
      <c r="B11" s="32" t="s">
        <v>357</v>
      </c>
      <c r="C11" s="32" t="s">
        <v>175</v>
      </c>
      <c r="D11" s="32" t="s">
        <v>133</v>
      </c>
      <c r="E11" s="32" t="s">
        <v>131</v>
      </c>
      <c r="F11" s="32" t="s">
        <v>341</v>
      </c>
      <c r="G11" s="33"/>
      <c r="H11" s="32">
        <v>20</v>
      </c>
      <c r="I11" s="32">
        <v>1</v>
      </c>
      <c r="J11" s="32">
        <v>31</v>
      </c>
      <c r="K11" s="32">
        <v>0</v>
      </c>
      <c r="L11" s="33">
        <v>17000000</v>
      </c>
      <c r="M11" s="33">
        <v>5300000</v>
      </c>
      <c r="N11" s="33">
        <v>255800</v>
      </c>
      <c r="O11" s="33">
        <v>158300</v>
      </c>
      <c r="P11" s="34">
        <f t="shared" si="0"/>
        <v>0.33612352941176471</v>
      </c>
      <c r="Q11" s="34">
        <f t="shared" si="1"/>
        <v>0.31176470588235294</v>
      </c>
      <c r="R11" s="35" t="str">
        <f t="shared" si="2"/>
        <v/>
      </c>
      <c r="S11" s="32" t="str">
        <f>IF(AND(L11&gt;=INDEX(Succès!$D$10:$D$13,MATCH(A11,Succès!$A$10:$A$13,0)),P11&gt;=INDEX(Succès!$E$10:$E$13,MATCH(A11,Succès!$A$10:$A$13,0))),"Succès complet",IF(P11&gt;=INDEX(Succès!$E$10:$E$13,MATCH(A11,Succès!$A$10:$A$13,0)),"Engagé, portée modeste",IF(L11&gt;=INDEX(Succès!$D$10:$D$13,MATCH(A11,Succès!$A$10:$A$13,0)),"Portée sans engagement","Standard")))</f>
        <v>Succès complet</v>
      </c>
      <c r="T11" s="32">
        <f t="shared" si="3"/>
        <v>1</v>
      </c>
    </row>
    <row r="12" spans="1:20">
      <c r="A12" s="32" t="s">
        <v>25</v>
      </c>
      <c r="B12" s="32" t="s">
        <v>358</v>
      </c>
      <c r="C12" s="32" t="s">
        <v>170</v>
      </c>
      <c r="D12" s="32" t="s">
        <v>129</v>
      </c>
      <c r="E12" s="32" t="s">
        <v>128</v>
      </c>
      <c r="F12" s="32" t="s">
        <v>341</v>
      </c>
      <c r="G12" s="33"/>
      <c r="H12" s="32">
        <v>12</v>
      </c>
      <c r="I12" s="32">
        <v>0</v>
      </c>
      <c r="J12" s="32">
        <v>39</v>
      </c>
      <c r="K12" s="32">
        <v>0</v>
      </c>
      <c r="L12" s="33">
        <v>22000000</v>
      </c>
      <c r="M12" s="33">
        <v>5200000</v>
      </c>
      <c r="N12" s="33">
        <v>87200</v>
      </c>
      <c r="O12" s="33">
        <v>37100</v>
      </c>
      <c r="P12" s="34">
        <f t="shared" si="0"/>
        <v>0.24201363636363638</v>
      </c>
      <c r="Q12" s="34">
        <f t="shared" si="1"/>
        <v>0.23636363636363636</v>
      </c>
      <c r="R12" s="35" t="str">
        <f t="shared" si="2"/>
        <v/>
      </c>
      <c r="S12" s="32" t="str">
        <f>IF(AND(L12&gt;=INDEX(Succès!$D$10:$D$13,MATCH(A12,Succès!$A$10:$A$13,0)),P12&gt;=INDEX(Succès!$E$10:$E$13,MATCH(A12,Succès!$A$10:$A$13,0))),"Succès complet",IF(P12&gt;=INDEX(Succès!$E$10:$E$13,MATCH(A12,Succès!$A$10:$A$13,0)),"Engagé, portée modeste",IF(L12&gt;=INDEX(Succès!$D$10:$D$13,MATCH(A12,Succès!$A$10:$A$13,0)),"Portée sans engagement","Standard")))</f>
        <v>Succès complet</v>
      </c>
      <c r="T12" s="32">
        <f t="shared" si="3"/>
        <v>1</v>
      </c>
    </row>
    <row r="13" spans="1:20">
      <c r="A13" s="32" t="s">
        <v>25</v>
      </c>
      <c r="B13" s="32" t="s">
        <v>359</v>
      </c>
      <c r="C13" s="32" t="s">
        <v>360</v>
      </c>
      <c r="D13" s="32"/>
      <c r="E13" s="32" t="s">
        <v>116</v>
      </c>
      <c r="F13" s="32" t="s">
        <v>344</v>
      </c>
      <c r="G13" s="33"/>
      <c r="H13" s="32">
        <v>8</v>
      </c>
      <c r="I13" s="32">
        <v>2</v>
      </c>
      <c r="J13" s="32">
        <v>19</v>
      </c>
      <c r="K13" s="32">
        <v>1</v>
      </c>
      <c r="L13" s="33">
        <v>882800</v>
      </c>
      <c r="M13" s="33">
        <v>60300</v>
      </c>
      <c r="N13" s="33">
        <v>694</v>
      </c>
      <c r="O13" s="33">
        <v>7656</v>
      </c>
      <c r="P13" s="34">
        <f t="shared" si="0"/>
        <v>7.7763932940643404E-2</v>
      </c>
      <c r="Q13" s="34">
        <f t="shared" si="1"/>
        <v>6.830539193475306E-2</v>
      </c>
      <c r="R13" s="35" t="str">
        <f t="shared" si="2"/>
        <v/>
      </c>
      <c r="S13" s="32" t="str">
        <f>IF(AND(L13&gt;=INDEX(Succès!$D$10:$D$13,MATCH(A13,Succès!$A$10:$A$13,0)),P13&gt;=INDEX(Succès!$E$10:$E$13,MATCH(A13,Succès!$A$10:$A$13,0))),"Succès complet",IF(P13&gt;=INDEX(Succès!$E$10:$E$13,MATCH(A13,Succès!$A$10:$A$13,0)),"Engagé, portée modeste",IF(L13&gt;=INDEX(Succès!$D$10:$D$13,MATCH(A13,Succès!$A$10:$A$13,0)),"Portée sans engagement","Standard")))</f>
        <v>Standard</v>
      </c>
      <c r="T13" s="32">
        <f t="shared" si="3"/>
        <v>0</v>
      </c>
    </row>
    <row r="14" spans="1:20">
      <c r="A14" s="32" t="s">
        <v>25</v>
      </c>
      <c r="B14" s="32" t="s">
        <v>361</v>
      </c>
      <c r="C14" s="32" t="s">
        <v>362</v>
      </c>
      <c r="D14" s="32"/>
      <c r="E14" s="32" t="s">
        <v>135</v>
      </c>
      <c r="F14" s="32" t="s">
        <v>344</v>
      </c>
      <c r="G14" s="33"/>
      <c r="H14" s="32">
        <v>13</v>
      </c>
      <c r="I14" s="32">
        <v>0</v>
      </c>
      <c r="J14" s="32">
        <v>0</v>
      </c>
      <c r="K14" s="32">
        <v>0</v>
      </c>
      <c r="L14" s="33">
        <v>19800000</v>
      </c>
      <c r="M14" s="33">
        <v>1600000</v>
      </c>
      <c r="N14" s="33">
        <v>12400</v>
      </c>
      <c r="O14" s="33">
        <v>44200</v>
      </c>
      <c r="P14" s="34">
        <f t="shared" si="0"/>
        <v>8.3666666666666667E-2</v>
      </c>
      <c r="Q14" s="34">
        <f t="shared" si="1"/>
        <v>8.0808080808080815E-2</v>
      </c>
      <c r="R14" s="35" t="str">
        <f t="shared" si="2"/>
        <v/>
      </c>
      <c r="S14" s="32" t="str">
        <f>IF(AND(L14&gt;=INDEX(Succès!$D$10:$D$13,MATCH(A14,Succès!$A$10:$A$13,0)),P14&gt;=INDEX(Succès!$E$10:$E$13,MATCH(A14,Succès!$A$10:$A$13,0))),"Succès complet",IF(P14&gt;=INDEX(Succès!$E$10:$E$13,MATCH(A14,Succès!$A$10:$A$13,0)),"Engagé, portée modeste",IF(L14&gt;=INDEX(Succès!$D$10:$D$13,MATCH(A14,Succès!$A$10:$A$13,0)),"Portée sans engagement","Standard")))</f>
        <v>Portée sans engagement</v>
      </c>
      <c r="T14" s="32">
        <f t="shared" si="3"/>
        <v>0</v>
      </c>
    </row>
    <row r="15" spans="1:20">
      <c r="A15" s="32" t="s">
        <v>25</v>
      </c>
      <c r="B15" s="32" t="s">
        <v>363</v>
      </c>
      <c r="C15" s="32" t="s">
        <v>182</v>
      </c>
      <c r="D15" s="32"/>
      <c r="E15" s="32" t="s">
        <v>135</v>
      </c>
      <c r="F15" s="32" t="s">
        <v>341</v>
      </c>
      <c r="G15" s="33"/>
      <c r="H15" s="32">
        <v>8</v>
      </c>
      <c r="I15" s="32">
        <v>3</v>
      </c>
      <c r="J15" s="32">
        <v>28</v>
      </c>
      <c r="K15" s="32">
        <v>0</v>
      </c>
      <c r="L15" s="33">
        <v>18900000</v>
      </c>
      <c r="M15" s="33">
        <v>2600000</v>
      </c>
      <c r="N15" s="33">
        <v>10500</v>
      </c>
      <c r="O15" s="33">
        <v>4745</v>
      </c>
      <c r="P15" s="34">
        <f t="shared" si="0"/>
        <v>0.13837275132275131</v>
      </c>
      <c r="Q15" s="34">
        <f t="shared" si="1"/>
        <v>0.13756613756613756</v>
      </c>
      <c r="R15" s="35" t="str">
        <f t="shared" si="2"/>
        <v/>
      </c>
      <c r="S15" s="32" t="str">
        <f>IF(AND(L15&gt;=INDEX(Succès!$D$10:$D$13,MATCH(A15,Succès!$A$10:$A$13,0)),P15&gt;=INDEX(Succès!$E$10:$E$13,MATCH(A15,Succès!$A$10:$A$13,0))),"Succès complet",IF(P15&gt;=INDEX(Succès!$E$10:$E$13,MATCH(A15,Succès!$A$10:$A$13,0)),"Engagé, portée modeste",IF(L15&gt;=INDEX(Succès!$D$10:$D$13,MATCH(A15,Succès!$A$10:$A$13,0)),"Portée sans engagement","Standard")))</f>
        <v>Succès complet</v>
      </c>
      <c r="T15" s="32">
        <f t="shared" si="3"/>
        <v>1</v>
      </c>
    </row>
    <row r="16" spans="1:20">
      <c r="A16" s="32" t="s">
        <v>25</v>
      </c>
      <c r="B16" s="32" t="s">
        <v>364</v>
      </c>
      <c r="C16" s="32" t="s">
        <v>159</v>
      </c>
      <c r="D16" s="32" t="s">
        <v>122</v>
      </c>
      <c r="E16" s="32" t="s">
        <v>120</v>
      </c>
      <c r="F16" s="32" t="s">
        <v>346</v>
      </c>
      <c r="G16" s="33"/>
      <c r="H16" s="32">
        <v>9</v>
      </c>
      <c r="I16" s="32">
        <v>8</v>
      </c>
      <c r="J16" s="32">
        <v>82</v>
      </c>
      <c r="K16" s="32">
        <v>0</v>
      </c>
      <c r="L16" s="33">
        <v>11400000</v>
      </c>
      <c r="M16" s="33">
        <v>2100000</v>
      </c>
      <c r="N16" s="33">
        <v>25000</v>
      </c>
      <c r="O16" s="33">
        <v>110300</v>
      </c>
      <c r="P16" s="34">
        <f t="shared" si="0"/>
        <v>0.19607894736842105</v>
      </c>
      <c r="Q16" s="34">
        <f t="shared" si="1"/>
        <v>0.18421052631578946</v>
      </c>
      <c r="R16" s="35" t="str">
        <f t="shared" si="2"/>
        <v/>
      </c>
      <c r="S16" s="32" t="str">
        <f>IF(AND(L16&gt;=INDEX(Succès!$D$10:$D$13,MATCH(A16,Succès!$A$10:$A$13,0)),P16&gt;=INDEX(Succès!$E$10:$E$13,MATCH(A16,Succès!$A$10:$A$13,0))),"Succès complet",IF(P16&gt;=INDEX(Succès!$E$10:$E$13,MATCH(A16,Succès!$A$10:$A$13,0)),"Engagé, portée modeste",IF(L16&gt;=INDEX(Succès!$D$10:$D$13,MATCH(A16,Succès!$A$10:$A$13,0)),"Portée sans engagement","Standard")))</f>
        <v>Succès complet</v>
      </c>
      <c r="T16" s="32">
        <f t="shared" si="3"/>
        <v>1</v>
      </c>
    </row>
    <row r="17" spans="1:20">
      <c r="A17" s="32" t="s">
        <v>25</v>
      </c>
      <c r="B17" s="32" t="s">
        <v>365</v>
      </c>
      <c r="C17" s="32" t="s">
        <v>366</v>
      </c>
      <c r="D17" s="32"/>
      <c r="E17" s="32" t="s">
        <v>135</v>
      </c>
      <c r="F17" s="32" t="s">
        <v>346</v>
      </c>
      <c r="G17" s="33"/>
      <c r="H17" s="32">
        <v>13</v>
      </c>
      <c r="I17" s="32">
        <v>0</v>
      </c>
      <c r="J17" s="32">
        <v>0</v>
      </c>
      <c r="K17" s="32">
        <v>0</v>
      </c>
      <c r="L17" s="33">
        <v>11000000</v>
      </c>
      <c r="M17" s="33">
        <v>417300</v>
      </c>
      <c r="N17" s="33">
        <v>6307</v>
      </c>
      <c r="O17" s="33">
        <v>56600</v>
      </c>
      <c r="P17" s="34">
        <f t="shared" si="0"/>
        <v>4.3655181818181815E-2</v>
      </c>
      <c r="Q17" s="34">
        <f t="shared" si="1"/>
        <v>3.7936363636363636E-2</v>
      </c>
      <c r="R17" s="35" t="str">
        <f t="shared" si="2"/>
        <v/>
      </c>
      <c r="S17" s="32" t="str">
        <f>IF(AND(L17&gt;=INDEX(Succès!$D$10:$D$13,MATCH(A17,Succès!$A$10:$A$13,0)),P17&gt;=INDEX(Succès!$E$10:$E$13,MATCH(A17,Succès!$A$10:$A$13,0))),"Succès complet",IF(P17&gt;=INDEX(Succès!$E$10:$E$13,MATCH(A17,Succès!$A$10:$A$13,0)),"Engagé, portée modeste",IF(L17&gt;=INDEX(Succès!$D$10:$D$13,MATCH(A17,Succès!$A$10:$A$13,0)),"Portée sans engagement","Standard")))</f>
        <v>Portée sans engagement</v>
      </c>
      <c r="T17" s="32">
        <f t="shared" si="3"/>
        <v>0</v>
      </c>
    </row>
    <row r="18" spans="1:20">
      <c r="A18" s="32" t="s">
        <v>25</v>
      </c>
      <c r="B18" s="32" t="s">
        <v>367</v>
      </c>
      <c r="C18" s="32" t="s">
        <v>368</v>
      </c>
      <c r="D18" s="32"/>
      <c r="E18" s="32" t="s">
        <v>124</v>
      </c>
      <c r="F18" s="32" t="s">
        <v>346</v>
      </c>
      <c r="G18" s="33"/>
      <c r="H18" s="32">
        <v>12</v>
      </c>
      <c r="I18" s="32">
        <v>10</v>
      </c>
      <c r="J18" s="32">
        <v>113</v>
      </c>
      <c r="K18" s="32">
        <v>1</v>
      </c>
      <c r="L18" s="33">
        <v>13100000</v>
      </c>
      <c r="M18" s="33">
        <v>1200000</v>
      </c>
      <c r="N18" s="33">
        <v>27200</v>
      </c>
      <c r="O18" s="33">
        <v>91000</v>
      </c>
      <c r="P18" s="34">
        <f t="shared" si="0"/>
        <v>0.10062595419847328</v>
      </c>
      <c r="Q18" s="34">
        <f t="shared" si="1"/>
        <v>9.1603053435114504E-2</v>
      </c>
      <c r="R18" s="35" t="str">
        <f t="shared" si="2"/>
        <v/>
      </c>
      <c r="S18" s="32" t="str">
        <f>IF(AND(L18&gt;=INDEX(Succès!$D$10:$D$13,MATCH(A18,Succès!$A$10:$A$13,0)),P18&gt;=INDEX(Succès!$E$10:$E$13,MATCH(A18,Succès!$A$10:$A$13,0))),"Succès complet",IF(P18&gt;=INDEX(Succès!$E$10:$E$13,MATCH(A18,Succès!$A$10:$A$13,0)),"Engagé, portée modeste",IF(L18&gt;=INDEX(Succès!$D$10:$D$13,MATCH(A18,Succès!$A$10:$A$13,0)),"Portée sans engagement","Standard")))</f>
        <v>Portée sans engagement</v>
      </c>
      <c r="T18" s="32">
        <f t="shared" si="3"/>
        <v>0</v>
      </c>
    </row>
    <row r="19" spans="1:20">
      <c r="A19" s="32" t="s">
        <v>25</v>
      </c>
      <c r="B19" s="32" t="s">
        <v>369</v>
      </c>
      <c r="C19" s="32" t="s">
        <v>370</v>
      </c>
      <c r="D19" s="32"/>
      <c r="E19" s="32" t="s">
        <v>128</v>
      </c>
      <c r="F19" s="32" t="s">
        <v>344</v>
      </c>
      <c r="G19" s="33"/>
      <c r="H19" s="32">
        <v>58</v>
      </c>
      <c r="I19" s="32">
        <v>9</v>
      </c>
      <c r="J19" s="32">
        <v>145</v>
      </c>
      <c r="K19" s="32">
        <v>1</v>
      </c>
      <c r="L19" s="33">
        <v>4800000</v>
      </c>
      <c r="M19" s="33">
        <v>270600</v>
      </c>
      <c r="N19" s="33">
        <v>1114</v>
      </c>
      <c r="O19" s="33">
        <v>79000</v>
      </c>
      <c r="P19" s="34">
        <f t="shared" si="0"/>
        <v>7.306541666666666E-2</v>
      </c>
      <c r="Q19" s="34">
        <f t="shared" si="1"/>
        <v>5.6375000000000001E-2</v>
      </c>
      <c r="R19" s="35" t="str">
        <f t="shared" si="2"/>
        <v/>
      </c>
      <c r="S19" s="32" t="str">
        <f>IF(AND(L19&gt;=INDEX(Succès!$D$10:$D$13,MATCH(A19,Succès!$A$10:$A$13,0)),P19&gt;=INDEX(Succès!$E$10:$E$13,MATCH(A19,Succès!$A$10:$A$13,0))),"Succès complet",IF(P19&gt;=INDEX(Succès!$E$10:$E$13,MATCH(A19,Succès!$A$10:$A$13,0)),"Engagé, portée modeste",IF(L19&gt;=INDEX(Succès!$D$10:$D$13,MATCH(A19,Succès!$A$10:$A$13,0)),"Portée sans engagement","Standard")))</f>
        <v>Standard</v>
      </c>
      <c r="T19" s="32">
        <f t="shared" si="3"/>
        <v>0</v>
      </c>
    </row>
    <row r="20" spans="1:20">
      <c r="A20" s="32" t="s">
        <v>25</v>
      </c>
      <c r="B20" s="32" t="s">
        <v>371</v>
      </c>
      <c r="C20" s="32" t="s">
        <v>372</v>
      </c>
      <c r="D20" s="32"/>
      <c r="E20" s="32" t="s">
        <v>124</v>
      </c>
      <c r="F20" s="32" t="s">
        <v>344</v>
      </c>
      <c r="G20" s="33"/>
      <c r="H20" s="32">
        <v>15</v>
      </c>
      <c r="I20" s="32">
        <v>0</v>
      </c>
      <c r="J20" s="32">
        <v>44</v>
      </c>
      <c r="K20" s="32">
        <v>0</v>
      </c>
      <c r="L20" s="33">
        <v>3400000</v>
      </c>
      <c r="M20" s="33">
        <v>320400</v>
      </c>
      <c r="N20" s="33">
        <v>2289</v>
      </c>
      <c r="O20" s="33">
        <v>870</v>
      </c>
      <c r="P20" s="34">
        <f t="shared" si="0"/>
        <v>9.5164411764705886E-2</v>
      </c>
      <c r="Q20" s="34">
        <f t="shared" si="1"/>
        <v>9.4235294117647056E-2</v>
      </c>
      <c r="R20" s="35" t="str">
        <f t="shared" si="2"/>
        <v/>
      </c>
      <c r="S20" s="32" t="str">
        <f>IF(AND(L20&gt;=INDEX(Succès!$D$10:$D$13,MATCH(A20,Succès!$A$10:$A$13,0)),P20&gt;=INDEX(Succès!$E$10:$E$13,MATCH(A20,Succès!$A$10:$A$13,0))),"Succès complet",IF(P20&gt;=INDEX(Succès!$E$10:$E$13,MATCH(A20,Succès!$A$10:$A$13,0)),"Engagé, portée modeste",IF(L20&gt;=INDEX(Succès!$D$10:$D$13,MATCH(A20,Succès!$A$10:$A$13,0)),"Portée sans engagement","Standard")))</f>
        <v>Standard</v>
      </c>
      <c r="T20" s="32">
        <f t="shared" si="3"/>
        <v>0</v>
      </c>
    </row>
    <row r="21" spans="1:20">
      <c r="A21" s="32" t="s">
        <v>25</v>
      </c>
      <c r="B21" s="32" t="s">
        <v>373</v>
      </c>
      <c r="C21" s="32" t="s">
        <v>374</v>
      </c>
      <c r="D21" s="32"/>
      <c r="E21" s="32" t="s">
        <v>135</v>
      </c>
      <c r="F21" s="32" t="s">
        <v>346</v>
      </c>
      <c r="G21" s="33"/>
      <c r="H21" s="32">
        <v>9</v>
      </c>
      <c r="I21" s="32">
        <v>0</v>
      </c>
      <c r="J21" s="32">
        <v>1</v>
      </c>
      <c r="K21" s="32">
        <v>0</v>
      </c>
      <c r="L21" s="33">
        <v>10300000</v>
      </c>
      <c r="M21" s="33">
        <v>551600</v>
      </c>
      <c r="N21" s="33">
        <v>0</v>
      </c>
      <c r="O21" s="33">
        <v>227100</v>
      </c>
      <c r="P21" s="34">
        <f t="shared" si="0"/>
        <v>7.5601941747572815E-2</v>
      </c>
      <c r="Q21" s="34">
        <f t="shared" si="1"/>
        <v>5.3553398058252426E-2</v>
      </c>
      <c r="R21" s="35" t="str">
        <f t="shared" si="2"/>
        <v/>
      </c>
      <c r="S21" s="32" t="str">
        <f>IF(AND(L21&gt;=INDEX(Succès!$D$10:$D$13,MATCH(A21,Succès!$A$10:$A$13,0)),P21&gt;=INDEX(Succès!$E$10:$E$13,MATCH(A21,Succès!$A$10:$A$13,0))),"Succès complet",IF(P21&gt;=INDEX(Succès!$E$10:$E$13,MATCH(A21,Succès!$A$10:$A$13,0)),"Engagé, portée modeste",IF(L21&gt;=INDEX(Succès!$D$10:$D$13,MATCH(A21,Succès!$A$10:$A$13,0)),"Portée sans engagement","Standard")))</f>
        <v>Standard</v>
      </c>
      <c r="T21" s="32">
        <f t="shared" si="3"/>
        <v>0</v>
      </c>
    </row>
    <row r="22" spans="1:20">
      <c r="A22" s="32" t="s">
        <v>25</v>
      </c>
      <c r="B22" s="32" t="s">
        <v>375</v>
      </c>
      <c r="C22" s="32" t="s">
        <v>376</v>
      </c>
      <c r="D22" s="32"/>
      <c r="E22" s="32" t="s">
        <v>135</v>
      </c>
      <c r="F22" s="32" t="s">
        <v>344</v>
      </c>
      <c r="G22" s="33"/>
      <c r="H22" s="32">
        <v>8</v>
      </c>
      <c r="I22" s="32">
        <v>3</v>
      </c>
      <c r="J22" s="32">
        <v>46</v>
      </c>
      <c r="K22" s="32">
        <v>1</v>
      </c>
      <c r="L22" s="33">
        <v>2800000</v>
      </c>
      <c r="M22" s="33">
        <v>250500</v>
      </c>
      <c r="N22" s="33">
        <v>1781</v>
      </c>
      <c r="O22" s="33">
        <v>4295</v>
      </c>
      <c r="P22" s="34">
        <f t="shared" si="0"/>
        <v>9.163428571428571E-2</v>
      </c>
      <c r="Q22" s="34">
        <f t="shared" si="1"/>
        <v>8.9464285714285718E-2</v>
      </c>
      <c r="R22" s="35" t="str">
        <f t="shared" si="2"/>
        <v/>
      </c>
      <c r="S22" s="32" t="str">
        <f>IF(AND(L22&gt;=INDEX(Succès!$D$10:$D$13,MATCH(A22,Succès!$A$10:$A$13,0)),P22&gt;=INDEX(Succès!$E$10:$E$13,MATCH(A22,Succès!$A$10:$A$13,0))),"Succès complet",IF(P22&gt;=INDEX(Succès!$E$10:$E$13,MATCH(A22,Succès!$A$10:$A$13,0)),"Engagé, portée modeste",IF(L22&gt;=INDEX(Succès!$D$10:$D$13,MATCH(A22,Succès!$A$10:$A$13,0)),"Portée sans engagement","Standard")))</f>
        <v>Standard</v>
      </c>
      <c r="T22" s="32">
        <f t="shared" si="3"/>
        <v>0</v>
      </c>
    </row>
    <row r="23" spans="1:20">
      <c r="A23" s="32" t="s">
        <v>25</v>
      </c>
      <c r="B23" s="32" t="s">
        <v>377</v>
      </c>
      <c r="C23" s="32" t="s">
        <v>378</v>
      </c>
      <c r="D23" s="32"/>
      <c r="E23" s="32" t="s">
        <v>135</v>
      </c>
      <c r="F23" s="32" t="s">
        <v>344</v>
      </c>
      <c r="G23" s="33"/>
      <c r="H23" s="32">
        <v>15</v>
      </c>
      <c r="I23" s="32">
        <v>4</v>
      </c>
      <c r="J23" s="32">
        <v>69</v>
      </c>
      <c r="K23" s="32">
        <v>1</v>
      </c>
      <c r="L23" s="33">
        <v>3400000</v>
      </c>
      <c r="M23" s="33">
        <v>66300</v>
      </c>
      <c r="N23" s="33">
        <v>2219</v>
      </c>
      <c r="O23" s="33">
        <v>24900</v>
      </c>
      <c r="P23" s="34">
        <f t="shared" si="0"/>
        <v>2.7476176470588237E-2</v>
      </c>
      <c r="Q23" s="34">
        <f t="shared" si="1"/>
        <v>1.95E-2</v>
      </c>
      <c r="R23" s="35" t="str">
        <f t="shared" si="2"/>
        <v/>
      </c>
      <c r="S23" s="32" t="str">
        <f>IF(AND(L23&gt;=INDEX(Succès!$D$10:$D$13,MATCH(A23,Succès!$A$10:$A$13,0)),P23&gt;=INDEX(Succès!$E$10:$E$13,MATCH(A23,Succès!$A$10:$A$13,0))),"Succès complet",IF(P23&gt;=INDEX(Succès!$E$10:$E$13,MATCH(A23,Succès!$A$10:$A$13,0)),"Engagé, portée modeste",IF(L23&gt;=INDEX(Succès!$D$10:$D$13,MATCH(A23,Succès!$A$10:$A$13,0)),"Portée sans engagement","Standard")))</f>
        <v>Standard</v>
      </c>
      <c r="T23" s="32">
        <f t="shared" si="3"/>
        <v>0</v>
      </c>
    </row>
    <row r="24" spans="1:20">
      <c r="A24" s="32" t="s">
        <v>25</v>
      </c>
      <c r="B24" s="32" t="s">
        <v>379</v>
      </c>
      <c r="C24" s="32" t="s">
        <v>170</v>
      </c>
      <c r="D24" s="32" t="s">
        <v>129</v>
      </c>
      <c r="E24" s="32" t="s">
        <v>128</v>
      </c>
      <c r="F24" s="32" t="s">
        <v>341</v>
      </c>
      <c r="G24" s="33"/>
      <c r="H24" s="32">
        <v>20</v>
      </c>
      <c r="I24" s="32">
        <v>0</v>
      </c>
      <c r="J24" s="32">
        <v>38</v>
      </c>
      <c r="K24" s="32">
        <v>0</v>
      </c>
      <c r="L24" s="33">
        <v>25200000</v>
      </c>
      <c r="M24" s="33">
        <v>6200000</v>
      </c>
      <c r="N24" s="33">
        <v>172900</v>
      </c>
      <c r="O24" s="33">
        <v>70200</v>
      </c>
      <c r="P24" s="34">
        <f t="shared" si="0"/>
        <v>0.25567857142857142</v>
      </c>
      <c r="Q24" s="34">
        <f t="shared" si="1"/>
        <v>0.24603174603174602</v>
      </c>
      <c r="R24" s="35" t="str">
        <f t="shared" si="2"/>
        <v/>
      </c>
      <c r="S24" s="32" t="str">
        <f>IF(AND(L24&gt;=INDEX(Succès!$D$10:$D$13,MATCH(A24,Succès!$A$10:$A$13,0)),P24&gt;=INDEX(Succès!$E$10:$E$13,MATCH(A24,Succès!$A$10:$A$13,0))),"Succès complet",IF(P24&gt;=INDEX(Succès!$E$10:$E$13,MATCH(A24,Succès!$A$10:$A$13,0)),"Engagé, portée modeste",IF(L24&gt;=INDEX(Succès!$D$10:$D$13,MATCH(A24,Succès!$A$10:$A$13,0)),"Portée sans engagement","Standard")))</f>
        <v>Succès complet</v>
      </c>
      <c r="T24" s="32">
        <f t="shared" si="3"/>
        <v>1</v>
      </c>
    </row>
    <row r="25" spans="1:20">
      <c r="A25" s="32" t="s">
        <v>25</v>
      </c>
      <c r="B25" s="32" t="s">
        <v>380</v>
      </c>
      <c r="C25" s="32" t="s">
        <v>381</v>
      </c>
      <c r="D25" s="32"/>
      <c r="E25" s="32" t="s">
        <v>120</v>
      </c>
      <c r="F25" s="32" t="s">
        <v>344</v>
      </c>
      <c r="G25" s="33"/>
      <c r="H25" s="32">
        <v>8</v>
      </c>
      <c r="I25" s="32">
        <v>7</v>
      </c>
      <c r="J25" s="32">
        <v>55</v>
      </c>
      <c r="K25" s="32">
        <v>1</v>
      </c>
      <c r="L25" s="33">
        <v>2000000</v>
      </c>
      <c r="M25" s="33">
        <v>70700</v>
      </c>
      <c r="N25" s="33">
        <v>1474</v>
      </c>
      <c r="O25" s="33">
        <v>31300</v>
      </c>
      <c r="P25" s="34">
        <f t="shared" si="0"/>
        <v>5.1736999999999998E-2</v>
      </c>
      <c r="Q25" s="34">
        <f t="shared" si="1"/>
        <v>3.5349999999999999E-2</v>
      </c>
      <c r="R25" s="35" t="str">
        <f t="shared" si="2"/>
        <v/>
      </c>
      <c r="S25" s="32" t="str">
        <f>IF(AND(L25&gt;=INDEX(Succès!$D$10:$D$13,MATCH(A25,Succès!$A$10:$A$13,0)),P25&gt;=INDEX(Succès!$E$10:$E$13,MATCH(A25,Succès!$A$10:$A$13,0))),"Succès complet",IF(P25&gt;=INDEX(Succès!$E$10:$E$13,MATCH(A25,Succès!$A$10:$A$13,0)),"Engagé, portée modeste",IF(L25&gt;=INDEX(Succès!$D$10:$D$13,MATCH(A25,Succès!$A$10:$A$13,0)),"Portée sans engagement","Standard")))</f>
        <v>Standard</v>
      </c>
      <c r="T25" s="32">
        <f t="shared" si="3"/>
        <v>0</v>
      </c>
    </row>
    <row r="26" spans="1:20">
      <c r="A26" s="32" t="s">
        <v>25</v>
      </c>
      <c r="B26" s="32" t="s">
        <v>382</v>
      </c>
      <c r="C26" s="32" t="s">
        <v>165</v>
      </c>
      <c r="D26" s="32" t="s">
        <v>166</v>
      </c>
      <c r="E26" s="32" t="s">
        <v>124</v>
      </c>
      <c r="F26" s="32" t="s">
        <v>346</v>
      </c>
      <c r="G26" s="33"/>
      <c r="H26" s="32">
        <v>8</v>
      </c>
      <c r="I26" s="32">
        <v>7</v>
      </c>
      <c r="J26" s="32">
        <v>65</v>
      </c>
      <c r="K26" s="32">
        <v>1</v>
      </c>
      <c r="L26" s="33">
        <v>32200000</v>
      </c>
      <c r="M26" s="33">
        <v>4800000</v>
      </c>
      <c r="N26" s="33">
        <v>56700</v>
      </c>
      <c r="O26" s="33">
        <v>451600</v>
      </c>
      <c r="P26" s="34">
        <f t="shared" si="0"/>
        <v>0.16485403726708076</v>
      </c>
      <c r="Q26" s="34">
        <f t="shared" si="1"/>
        <v>0.14906832298136646</v>
      </c>
      <c r="R26" s="35" t="str">
        <f t="shared" si="2"/>
        <v/>
      </c>
      <c r="S26" s="32" t="str">
        <f>IF(AND(L26&gt;=INDEX(Succès!$D$10:$D$13,MATCH(A26,Succès!$A$10:$A$13,0)),P26&gt;=INDEX(Succès!$E$10:$E$13,MATCH(A26,Succès!$A$10:$A$13,0))),"Succès complet",IF(P26&gt;=INDEX(Succès!$E$10:$E$13,MATCH(A26,Succès!$A$10:$A$13,0)),"Engagé, portée modeste",IF(L26&gt;=INDEX(Succès!$D$10:$D$13,MATCH(A26,Succès!$A$10:$A$13,0)),"Portée sans engagement","Standard")))</f>
        <v>Succès complet</v>
      </c>
      <c r="T26" s="32">
        <f t="shared" si="3"/>
        <v>1</v>
      </c>
    </row>
    <row r="27" spans="1:20">
      <c r="A27" s="32" t="s">
        <v>25</v>
      </c>
      <c r="B27" s="32" t="s">
        <v>383</v>
      </c>
      <c r="C27" s="32" t="s">
        <v>384</v>
      </c>
      <c r="D27" s="32"/>
      <c r="E27" s="32" t="s">
        <v>128</v>
      </c>
      <c r="F27" s="32" t="s">
        <v>346</v>
      </c>
      <c r="G27" s="33"/>
      <c r="H27" s="32">
        <v>9</v>
      </c>
      <c r="I27" s="32">
        <v>9</v>
      </c>
      <c r="J27" s="32">
        <v>145</v>
      </c>
      <c r="K27" s="32">
        <v>1</v>
      </c>
      <c r="L27" s="33">
        <v>15000000</v>
      </c>
      <c r="M27" s="33">
        <v>1800000</v>
      </c>
      <c r="N27" s="33">
        <v>6751</v>
      </c>
      <c r="O27" s="33">
        <v>5469</v>
      </c>
      <c r="P27" s="34">
        <f t="shared" si="0"/>
        <v>0.12081466666666667</v>
      </c>
      <c r="Q27" s="34">
        <f t="shared" si="1"/>
        <v>0.12</v>
      </c>
      <c r="R27" s="35" t="str">
        <f t="shared" si="2"/>
        <v/>
      </c>
      <c r="S27" s="32" t="str">
        <f>IF(AND(L27&gt;=INDEX(Succès!$D$10:$D$13,MATCH(A27,Succès!$A$10:$A$13,0)),P27&gt;=INDEX(Succès!$E$10:$E$13,MATCH(A27,Succès!$A$10:$A$13,0))),"Succès complet",IF(P27&gt;=INDEX(Succès!$E$10:$E$13,MATCH(A27,Succès!$A$10:$A$13,0)),"Engagé, portée modeste",IF(L27&gt;=INDEX(Succès!$D$10:$D$13,MATCH(A27,Succès!$A$10:$A$13,0)),"Portée sans engagement","Standard")))</f>
        <v>Succès complet</v>
      </c>
      <c r="T27" s="32">
        <f t="shared" si="3"/>
        <v>1</v>
      </c>
    </row>
    <row r="28" spans="1:20">
      <c r="A28" s="32" t="s">
        <v>25</v>
      </c>
      <c r="B28" s="32" t="s">
        <v>385</v>
      </c>
      <c r="C28" s="32" t="s">
        <v>386</v>
      </c>
      <c r="D28" s="32"/>
      <c r="E28" s="32" t="s">
        <v>135</v>
      </c>
      <c r="F28" s="32" t="s">
        <v>344</v>
      </c>
      <c r="G28" s="33"/>
      <c r="H28" s="32">
        <v>14</v>
      </c>
      <c r="I28" s="32">
        <v>1</v>
      </c>
      <c r="J28" s="32">
        <v>17</v>
      </c>
      <c r="K28" s="32">
        <v>0</v>
      </c>
      <c r="L28" s="33">
        <v>5600000</v>
      </c>
      <c r="M28" s="33">
        <v>228000</v>
      </c>
      <c r="N28" s="33">
        <v>0</v>
      </c>
      <c r="O28" s="33">
        <v>9693</v>
      </c>
      <c r="P28" s="34">
        <f t="shared" si="0"/>
        <v>4.2445178571428571E-2</v>
      </c>
      <c r="Q28" s="34">
        <f t="shared" si="1"/>
        <v>4.0714285714285717E-2</v>
      </c>
      <c r="R28" s="35" t="str">
        <f t="shared" si="2"/>
        <v/>
      </c>
      <c r="S28" s="32" t="str">
        <f>IF(AND(L28&gt;=INDEX(Succès!$D$10:$D$13,MATCH(A28,Succès!$A$10:$A$13,0)),P28&gt;=INDEX(Succès!$E$10:$E$13,MATCH(A28,Succès!$A$10:$A$13,0))),"Succès complet",IF(P28&gt;=INDEX(Succès!$E$10:$E$13,MATCH(A28,Succès!$A$10:$A$13,0)),"Engagé, portée modeste",IF(L28&gt;=INDEX(Succès!$D$10:$D$13,MATCH(A28,Succès!$A$10:$A$13,0)),"Portée sans engagement","Standard")))</f>
        <v>Standard</v>
      </c>
      <c r="T28" s="32">
        <f t="shared" si="3"/>
        <v>0</v>
      </c>
    </row>
    <row r="29" spans="1:20">
      <c r="A29" s="32" t="s">
        <v>25</v>
      </c>
      <c r="B29" s="32" t="s">
        <v>387</v>
      </c>
      <c r="C29" s="32" t="s">
        <v>388</v>
      </c>
      <c r="D29" s="32"/>
      <c r="E29" s="32" t="s">
        <v>135</v>
      </c>
      <c r="F29" s="32" t="s">
        <v>344</v>
      </c>
      <c r="G29" s="33"/>
      <c r="H29" s="32">
        <v>15</v>
      </c>
      <c r="I29" s="32">
        <v>0</v>
      </c>
      <c r="J29" s="32">
        <v>63</v>
      </c>
      <c r="K29" s="32">
        <v>0</v>
      </c>
      <c r="L29" s="33">
        <v>5500000</v>
      </c>
      <c r="M29" s="33">
        <v>55900</v>
      </c>
      <c r="N29" s="33">
        <v>8431</v>
      </c>
      <c r="O29" s="33">
        <v>15800</v>
      </c>
      <c r="P29" s="34">
        <f t="shared" si="0"/>
        <v>1.4569272727272728E-2</v>
      </c>
      <c r="Q29" s="34">
        <f t="shared" si="1"/>
        <v>1.0163636363636364E-2</v>
      </c>
      <c r="R29" s="35" t="str">
        <f t="shared" si="2"/>
        <v/>
      </c>
      <c r="S29" s="32" t="str">
        <f>IF(AND(L29&gt;=INDEX(Succès!$D$10:$D$13,MATCH(A29,Succès!$A$10:$A$13,0)),P29&gt;=INDEX(Succès!$E$10:$E$13,MATCH(A29,Succès!$A$10:$A$13,0))),"Succès complet",IF(P29&gt;=INDEX(Succès!$E$10:$E$13,MATCH(A29,Succès!$A$10:$A$13,0)),"Engagé, portée modeste",IF(L29&gt;=INDEX(Succès!$D$10:$D$13,MATCH(A29,Succès!$A$10:$A$13,0)),"Portée sans engagement","Standard")))</f>
        <v>Standard</v>
      </c>
      <c r="T29" s="32">
        <f t="shared" si="3"/>
        <v>0</v>
      </c>
    </row>
    <row r="30" spans="1:20">
      <c r="A30" s="32" t="s">
        <v>25</v>
      </c>
      <c r="B30" s="32" t="s">
        <v>389</v>
      </c>
      <c r="C30" s="32" t="s">
        <v>390</v>
      </c>
      <c r="D30" s="32"/>
      <c r="E30" s="32" t="s">
        <v>135</v>
      </c>
      <c r="F30" s="32" t="s">
        <v>346</v>
      </c>
      <c r="G30" s="33"/>
      <c r="H30" s="32">
        <v>38</v>
      </c>
      <c r="I30" s="32">
        <v>0</v>
      </c>
      <c r="J30" s="32">
        <v>0</v>
      </c>
      <c r="K30" s="32">
        <v>0</v>
      </c>
      <c r="L30" s="33">
        <v>13700000</v>
      </c>
      <c r="M30" s="33">
        <v>1500000</v>
      </c>
      <c r="N30" s="33">
        <v>30200</v>
      </c>
      <c r="O30" s="33">
        <v>222600</v>
      </c>
      <c r="P30" s="34">
        <f t="shared" si="0"/>
        <v>0.12794160583941605</v>
      </c>
      <c r="Q30" s="34">
        <f t="shared" si="1"/>
        <v>0.10948905109489052</v>
      </c>
      <c r="R30" s="35" t="str">
        <f t="shared" si="2"/>
        <v/>
      </c>
      <c r="S30" s="32" t="str">
        <f>IF(AND(L30&gt;=INDEX(Succès!$D$10:$D$13,MATCH(A30,Succès!$A$10:$A$13,0)),P30&gt;=INDEX(Succès!$E$10:$E$13,MATCH(A30,Succès!$A$10:$A$13,0))),"Succès complet",IF(P30&gt;=INDEX(Succès!$E$10:$E$13,MATCH(A30,Succès!$A$10:$A$13,0)),"Engagé, portée modeste",IF(L30&gt;=INDEX(Succès!$D$10:$D$13,MATCH(A30,Succès!$A$10:$A$13,0)),"Portée sans engagement","Standard")))</f>
        <v>Succès complet</v>
      </c>
      <c r="T30" s="32">
        <f t="shared" si="3"/>
        <v>1</v>
      </c>
    </row>
    <row r="31" spans="1:20">
      <c r="A31" s="32" t="s">
        <v>25</v>
      </c>
      <c r="B31" s="32" t="s">
        <v>391</v>
      </c>
      <c r="C31" s="32" t="s">
        <v>388</v>
      </c>
      <c r="D31" s="32"/>
      <c r="E31" s="32" t="s">
        <v>135</v>
      </c>
      <c r="F31" s="32" t="s">
        <v>344</v>
      </c>
      <c r="G31" s="33"/>
      <c r="H31" s="32">
        <v>15</v>
      </c>
      <c r="I31" s="32">
        <v>0</v>
      </c>
      <c r="J31" s="32">
        <v>6</v>
      </c>
      <c r="K31" s="32">
        <v>0</v>
      </c>
      <c r="L31" s="33">
        <v>342500</v>
      </c>
      <c r="M31" s="33">
        <v>3438</v>
      </c>
      <c r="N31" s="33">
        <v>489</v>
      </c>
      <c r="O31" s="33">
        <v>484</v>
      </c>
      <c r="P31" s="34">
        <f t="shared" si="0"/>
        <v>1.2878832116788322E-2</v>
      </c>
      <c r="Q31" s="34">
        <f t="shared" si="1"/>
        <v>1.0037956204379563E-2</v>
      </c>
      <c r="R31" s="35" t="str">
        <f t="shared" si="2"/>
        <v/>
      </c>
      <c r="S31" s="32" t="str">
        <f>IF(AND(L31&gt;=INDEX(Succès!$D$10:$D$13,MATCH(A31,Succès!$A$10:$A$13,0)),P31&gt;=INDEX(Succès!$E$10:$E$13,MATCH(A31,Succès!$A$10:$A$13,0))),"Succès complet",IF(P31&gt;=INDEX(Succès!$E$10:$E$13,MATCH(A31,Succès!$A$10:$A$13,0)),"Engagé, portée modeste",IF(L31&gt;=INDEX(Succès!$D$10:$D$13,MATCH(A31,Succès!$A$10:$A$13,0)),"Portée sans engagement","Standard")))</f>
        <v>Standard</v>
      </c>
      <c r="T31" s="32">
        <f t="shared" si="3"/>
        <v>0</v>
      </c>
    </row>
    <row r="32" spans="1:20">
      <c r="A32" s="32" t="s">
        <v>25</v>
      </c>
      <c r="B32" s="32" t="s">
        <v>392</v>
      </c>
      <c r="C32" s="32" t="s">
        <v>180</v>
      </c>
      <c r="D32" s="32"/>
      <c r="E32" s="32" t="s">
        <v>135</v>
      </c>
      <c r="F32" s="32" t="s">
        <v>346</v>
      </c>
      <c r="G32" s="33"/>
      <c r="H32" s="32">
        <v>12</v>
      </c>
      <c r="I32" s="32">
        <v>0</v>
      </c>
      <c r="J32" s="32">
        <v>15</v>
      </c>
      <c r="K32" s="32">
        <v>0</v>
      </c>
      <c r="L32" s="33">
        <v>14300000</v>
      </c>
      <c r="M32" s="33">
        <v>2800000</v>
      </c>
      <c r="N32" s="33">
        <v>23000</v>
      </c>
      <c r="O32" s="33">
        <v>15600</v>
      </c>
      <c r="P32" s="34">
        <f t="shared" si="0"/>
        <v>0.1985034965034965</v>
      </c>
      <c r="Q32" s="34">
        <f t="shared" si="1"/>
        <v>0.19580419580419581</v>
      </c>
      <c r="R32" s="35" t="str">
        <f t="shared" si="2"/>
        <v/>
      </c>
      <c r="S32" s="32" t="str">
        <f>IF(AND(L32&gt;=INDEX(Succès!$D$10:$D$13,MATCH(A32,Succès!$A$10:$A$13,0)),P32&gt;=INDEX(Succès!$E$10:$E$13,MATCH(A32,Succès!$A$10:$A$13,0))),"Succès complet",IF(P32&gt;=INDEX(Succès!$E$10:$E$13,MATCH(A32,Succès!$A$10:$A$13,0)),"Engagé, portée modeste",IF(L32&gt;=INDEX(Succès!$D$10:$D$13,MATCH(A32,Succès!$A$10:$A$13,0)),"Portée sans engagement","Standard")))</f>
        <v>Succès complet</v>
      </c>
      <c r="T32" s="32">
        <f t="shared" si="3"/>
        <v>1</v>
      </c>
    </row>
    <row r="33" spans="1:20">
      <c r="A33" s="32" t="s">
        <v>25</v>
      </c>
      <c r="B33" s="32" t="s">
        <v>393</v>
      </c>
      <c r="C33" s="32" t="s">
        <v>180</v>
      </c>
      <c r="D33" s="32"/>
      <c r="E33" s="32" t="s">
        <v>135</v>
      </c>
      <c r="F33" s="32" t="s">
        <v>346</v>
      </c>
      <c r="G33" s="33"/>
      <c r="H33" s="32">
        <v>10</v>
      </c>
      <c r="I33" s="32">
        <v>0</v>
      </c>
      <c r="J33" s="32">
        <v>0</v>
      </c>
      <c r="K33" s="32">
        <v>0</v>
      </c>
      <c r="L33" s="33">
        <v>44100000</v>
      </c>
      <c r="M33" s="33">
        <v>3300000</v>
      </c>
      <c r="N33" s="33">
        <v>25200</v>
      </c>
      <c r="O33" s="33">
        <v>42900</v>
      </c>
      <c r="P33" s="34">
        <f t="shared" si="0"/>
        <v>7.6374149659863944E-2</v>
      </c>
      <c r="Q33" s="34">
        <f t="shared" si="1"/>
        <v>7.4829931972789115E-2</v>
      </c>
      <c r="R33" s="35" t="str">
        <f t="shared" si="2"/>
        <v/>
      </c>
      <c r="S33" s="32" t="str">
        <f>IF(AND(L33&gt;=INDEX(Succès!$D$10:$D$13,MATCH(A33,Succès!$A$10:$A$13,0)),P33&gt;=INDEX(Succès!$E$10:$E$13,MATCH(A33,Succès!$A$10:$A$13,0))),"Succès complet",IF(P33&gt;=INDEX(Succès!$E$10:$E$13,MATCH(A33,Succès!$A$10:$A$13,0)),"Engagé, portée modeste",IF(L33&gt;=INDEX(Succès!$D$10:$D$13,MATCH(A33,Succès!$A$10:$A$13,0)),"Portée sans engagement","Standard")))</f>
        <v>Portée sans engagement</v>
      </c>
      <c r="T33" s="32">
        <f t="shared" si="3"/>
        <v>0</v>
      </c>
    </row>
    <row r="34" spans="1:20">
      <c r="A34" s="32" t="s">
        <v>25</v>
      </c>
      <c r="B34" s="32" t="s">
        <v>394</v>
      </c>
      <c r="C34" s="32" t="s">
        <v>395</v>
      </c>
      <c r="D34" s="32"/>
      <c r="E34" s="32" t="s">
        <v>124</v>
      </c>
      <c r="F34" s="32" t="s">
        <v>346</v>
      </c>
      <c r="G34" s="33"/>
      <c r="H34" s="32">
        <v>15</v>
      </c>
      <c r="I34" s="32">
        <v>3</v>
      </c>
      <c r="J34" s="32">
        <v>72</v>
      </c>
      <c r="K34" s="32">
        <v>0</v>
      </c>
      <c r="L34" s="33">
        <v>8000000</v>
      </c>
      <c r="M34" s="33">
        <v>800700</v>
      </c>
      <c r="N34" s="33">
        <v>23800</v>
      </c>
      <c r="O34" s="33">
        <v>100700</v>
      </c>
      <c r="P34" s="34">
        <f t="shared" si="0"/>
        <v>0.11565</v>
      </c>
      <c r="Q34" s="34">
        <f t="shared" si="1"/>
        <v>0.1000875</v>
      </c>
      <c r="R34" s="35" t="str">
        <f t="shared" si="2"/>
        <v/>
      </c>
      <c r="S34" s="32" t="str">
        <f>IF(AND(L34&gt;=INDEX(Succès!$D$10:$D$13,MATCH(A34,Succès!$A$10:$A$13,0)),P34&gt;=INDEX(Succès!$E$10:$E$13,MATCH(A34,Succès!$A$10:$A$13,0))),"Succès complet",IF(P34&gt;=INDEX(Succès!$E$10:$E$13,MATCH(A34,Succès!$A$10:$A$13,0)),"Engagé, portée modeste",IF(L34&gt;=INDEX(Succès!$D$10:$D$13,MATCH(A34,Succès!$A$10:$A$13,0)),"Portée sans engagement","Standard")))</f>
        <v>Engagé, portée modeste</v>
      </c>
      <c r="T34" s="32">
        <f t="shared" si="3"/>
        <v>0</v>
      </c>
    </row>
    <row r="35" spans="1:20">
      <c r="A35" s="32" t="s">
        <v>25</v>
      </c>
      <c r="B35" s="32" t="s">
        <v>396</v>
      </c>
      <c r="C35" s="32" t="s">
        <v>167</v>
      </c>
      <c r="D35" s="32" t="s">
        <v>168</v>
      </c>
      <c r="E35" s="32" t="s">
        <v>124</v>
      </c>
      <c r="F35" s="32" t="s">
        <v>344</v>
      </c>
      <c r="G35" s="33"/>
      <c r="H35" s="32">
        <v>21</v>
      </c>
      <c r="I35" s="32">
        <v>9</v>
      </c>
      <c r="J35" s="32">
        <v>135</v>
      </c>
      <c r="K35" s="32">
        <v>1</v>
      </c>
      <c r="L35" s="33">
        <v>25000000</v>
      </c>
      <c r="M35" s="33">
        <v>3600000</v>
      </c>
      <c r="N35" s="33">
        <v>96600</v>
      </c>
      <c r="O35" s="33">
        <v>457800</v>
      </c>
      <c r="P35" s="34">
        <f t="shared" si="0"/>
        <v>0.16617599999999999</v>
      </c>
      <c r="Q35" s="34">
        <f t="shared" si="1"/>
        <v>0.14399999999999999</v>
      </c>
      <c r="R35" s="35" t="str">
        <f t="shared" si="2"/>
        <v/>
      </c>
      <c r="S35" s="32" t="str">
        <f>IF(AND(L35&gt;=INDEX(Succès!$D$10:$D$13,MATCH(A35,Succès!$A$10:$A$13,0)),P35&gt;=INDEX(Succès!$E$10:$E$13,MATCH(A35,Succès!$A$10:$A$13,0))),"Succès complet",IF(P35&gt;=INDEX(Succès!$E$10:$E$13,MATCH(A35,Succès!$A$10:$A$13,0)),"Engagé, portée modeste",IF(L35&gt;=INDEX(Succès!$D$10:$D$13,MATCH(A35,Succès!$A$10:$A$13,0)),"Portée sans engagement","Standard")))</f>
        <v>Succès complet</v>
      </c>
      <c r="T35" s="32">
        <f t="shared" si="3"/>
        <v>1</v>
      </c>
    </row>
    <row r="36" spans="1:20">
      <c r="A36" s="32" t="s">
        <v>25</v>
      </c>
      <c r="B36" s="32" t="s">
        <v>397</v>
      </c>
      <c r="C36" s="32" t="s">
        <v>398</v>
      </c>
      <c r="D36" s="32"/>
      <c r="E36" s="32" t="s">
        <v>120</v>
      </c>
      <c r="F36" s="32" t="s">
        <v>346</v>
      </c>
      <c r="G36" s="33"/>
      <c r="H36" s="32">
        <v>11</v>
      </c>
      <c r="I36" s="32">
        <v>5</v>
      </c>
      <c r="J36" s="32">
        <v>87</v>
      </c>
      <c r="K36" s="32">
        <v>1</v>
      </c>
      <c r="L36" s="33">
        <v>4000000</v>
      </c>
      <c r="M36" s="33">
        <v>399100</v>
      </c>
      <c r="N36" s="33">
        <v>4824</v>
      </c>
      <c r="O36" s="33">
        <v>45200</v>
      </c>
      <c r="P36" s="34">
        <f t="shared" si="0"/>
        <v>0.11228100000000001</v>
      </c>
      <c r="Q36" s="34">
        <f t="shared" si="1"/>
        <v>9.9775000000000003E-2</v>
      </c>
      <c r="R36" s="35" t="str">
        <f t="shared" si="2"/>
        <v/>
      </c>
      <c r="S36" s="32" t="str">
        <f>IF(AND(L36&gt;=INDEX(Succès!$D$10:$D$13,MATCH(A36,Succès!$A$10:$A$13,0)),P36&gt;=INDEX(Succès!$E$10:$E$13,MATCH(A36,Succès!$A$10:$A$13,0))),"Succès complet",IF(P36&gt;=INDEX(Succès!$E$10:$E$13,MATCH(A36,Succès!$A$10:$A$13,0)),"Engagé, portée modeste",IF(L36&gt;=INDEX(Succès!$D$10:$D$13,MATCH(A36,Succès!$A$10:$A$13,0)),"Portée sans engagement","Standard")))</f>
        <v>Engagé, portée modeste</v>
      </c>
      <c r="T36" s="32">
        <f t="shared" si="3"/>
        <v>0</v>
      </c>
    </row>
    <row r="37" spans="1:20">
      <c r="A37" s="32" t="s">
        <v>25</v>
      </c>
      <c r="B37" s="32" t="s">
        <v>399</v>
      </c>
      <c r="C37" s="32" t="s">
        <v>400</v>
      </c>
      <c r="D37" s="32"/>
      <c r="E37" s="32" t="s">
        <v>135</v>
      </c>
      <c r="F37" s="32" t="s">
        <v>346</v>
      </c>
      <c r="G37" s="33"/>
      <c r="H37" s="32">
        <v>15</v>
      </c>
      <c r="I37" s="32">
        <v>0</v>
      </c>
      <c r="J37" s="32">
        <v>0</v>
      </c>
      <c r="K37" s="32">
        <v>0</v>
      </c>
      <c r="L37" s="33">
        <v>2200000</v>
      </c>
      <c r="M37" s="33">
        <v>140700</v>
      </c>
      <c r="N37" s="33">
        <v>3056</v>
      </c>
      <c r="O37" s="33">
        <v>27600</v>
      </c>
      <c r="P37" s="34">
        <f t="shared" si="0"/>
        <v>7.7889090909090908E-2</v>
      </c>
      <c r="Q37" s="34">
        <f t="shared" si="1"/>
        <v>6.3954545454545458E-2</v>
      </c>
      <c r="R37" s="35" t="str">
        <f t="shared" si="2"/>
        <v/>
      </c>
      <c r="S37" s="32" t="str">
        <f>IF(AND(L37&gt;=INDEX(Succès!$D$10:$D$13,MATCH(A37,Succès!$A$10:$A$13,0)),P37&gt;=INDEX(Succès!$E$10:$E$13,MATCH(A37,Succès!$A$10:$A$13,0))),"Succès complet",IF(P37&gt;=INDEX(Succès!$E$10:$E$13,MATCH(A37,Succès!$A$10:$A$13,0)),"Engagé, portée modeste",IF(L37&gt;=INDEX(Succès!$D$10:$D$13,MATCH(A37,Succès!$A$10:$A$13,0)),"Portée sans engagement","Standard")))</f>
        <v>Standard</v>
      </c>
      <c r="T37" s="32">
        <f t="shared" si="3"/>
        <v>0</v>
      </c>
    </row>
    <row r="38" spans="1:20">
      <c r="A38" s="32" t="s">
        <v>25</v>
      </c>
      <c r="B38" s="32" t="s">
        <v>401</v>
      </c>
      <c r="C38" s="32" t="s">
        <v>162</v>
      </c>
      <c r="D38" s="32"/>
      <c r="E38" s="32" t="s">
        <v>124</v>
      </c>
      <c r="F38" s="32" t="s">
        <v>346</v>
      </c>
      <c r="G38" s="33"/>
      <c r="H38" s="32">
        <v>47</v>
      </c>
      <c r="I38" s="32">
        <v>7</v>
      </c>
      <c r="J38" s="32">
        <v>112</v>
      </c>
      <c r="K38" s="32">
        <v>0</v>
      </c>
      <c r="L38" s="33">
        <v>56300000</v>
      </c>
      <c r="M38" s="33">
        <v>8300000</v>
      </c>
      <c r="N38" s="33">
        <v>55700</v>
      </c>
      <c r="O38" s="33">
        <v>410900</v>
      </c>
      <c r="P38" s="34">
        <f t="shared" si="0"/>
        <v>0.15571225577264652</v>
      </c>
      <c r="Q38" s="34">
        <f t="shared" si="1"/>
        <v>0.14742451154529307</v>
      </c>
      <c r="R38" s="35" t="str">
        <f t="shared" si="2"/>
        <v/>
      </c>
      <c r="S38" s="32" t="str">
        <f>IF(AND(L38&gt;=INDEX(Succès!$D$10:$D$13,MATCH(A38,Succès!$A$10:$A$13,0)),P38&gt;=INDEX(Succès!$E$10:$E$13,MATCH(A38,Succès!$A$10:$A$13,0))),"Succès complet",IF(P38&gt;=INDEX(Succès!$E$10:$E$13,MATCH(A38,Succès!$A$10:$A$13,0)),"Engagé, portée modeste",IF(L38&gt;=INDEX(Succès!$D$10:$D$13,MATCH(A38,Succès!$A$10:$A$13,0)),"Portée sans engagement","Standard")))</f>
        <v>Succès complet</v>
      </c>
      <c r="T38" s="32">
        <f t="shared" si="3"/>
        <v>1</v>
      </c>
    </row>
    <row r="39" spans="1:20">
      <c r="A39" s="32" t="s">
        <v>25</v>
      </c>
      <c r="B39" s="32" t="s">
        <v>402</v>
      </c>
      <c r="C39" s="32" t="s">
        <v>403</v>
      </c>
      <c r="D39" s="32"/>
      <c r="E39" s="32" t="s">
        <v>135</v>
      </c>
      <c r="F39" s="32" t="s">
        <v>344</v>
      </c>
      <c r="G39" s="33"/>
      <c r="H39" s="32">
        <v>12</v>
      </c>
      <c r="I39" s="32">
        <v>0</v>
      </c>
      <c r="J39" s="32">
        <v>16</v>
      </c>
      <c r="K39" s="32">
        <v>0</v>
      </c>
      <c r="L39" s="33">
        <v>1700000</v>
      </c>
      <c r="M39" s="33">
        <v>182500</v>
      </c>
      <c r="N39" s="33">
        <v>1155</v>
      </c>
      <c r="O39" s="33">
        <v>865</v>
      </c>
      <c r="P39" s="34">
        <f t="shared" si="0"/>
        <v>0.10854117647058824</v>
      </c>
      <c r="Q39" s="34">
        <f t="shared" si="1"/>
        <v>0.10735294117647058</v>
      </c>
      <c r="R39" s="35" t="str">
        <f t="shared" si="2"/>
        <v/>
      </c>
      <c r="S39" s="32" t="str">
        <f>IF(AND(L39&gt;=INDEX(Succès!$D$10:$D$13,MATCH(A39,Succès!$A$10:$A$13,0)),P39&gt;=INDEX(Succès!$E$10:$E$13,MATCH(A39,Succès!$A$10:$A$13,0))),"Succès complet",IF(P39&gt;=INDEX(Succès!$E$10:$E$13,MATCH(A39,Succès!$A$10:$A$13,0)),"Engagé, portée modeste",IF(L39&gt;=INDEX(Succès!$D$10:$D$13,MATCH(A39,Succès!$A$10:$A$13,0)),"Portée sans engagement","Standard")))</f>
        <v>Engagé, portée modeste</v>
      </c>
      <c r="T39" s="32">
        <f t="shared" si="3"/>
        <v>0</v>
      </c>
    </row>
    <row r="40" spans="1:20">
      <c r="A40" s="32" t="s">
        <v>25</v>
      </c>
      <c r="B40" s="32" t="s">
        <v>404</v>
      </c>
      <c r="C40" s="32" t="s">
        <v>405</v>
      </c>
      <c r="D40" s="32"/>
      <c r="E40" s="32" t="s">
        <v>124</v>
      </c>
      <c r="F40" s="32" t="s">
        <v>346</v>
      </c>
      <c r="G40" s="33"/>
      <c r="H40" s="32">
        <v>11</v>
      </c>
      <c r="I40" s="32">
        <v>9</v>
      </c>
      <c r="J40" s="32">
        <v>147</v>
      </c>
      <c r="K40" s="32">
        <v>1</v>
      </c>
      <c r="L40" s="33">
        <v>2400000</v>
      </c>
      <c r="M40" s="33">
        <v>488800</v>
      </c>
      <c r="N40" s="33">
        <v>4119</v>
      </c>
      <c r="O40" s="33">
        <v>9253</v>
      </c>
      <c r="P40" s="34">
        <f t="shared" si="0"/>
        <v>0.20923833333333333</v>
      </c>
      <c r="Q40" s="34">
        <f t="shared" si="1"/>
        <v>0.20366666666666666</v>
      </c>
      <c r="R40" s="35" t="str">
        <f t="shared" si="2"/>
        <v/>
      </c>
      <c r="S40" s="32" t="str">
        <f>IF(AND(L40&gt;=INDEX(Succès!$D$10:$D$13,MATCH(A40,Succès!$A$10:$A$13,0)),P40&gt;=INDEX(Succès!$E$10:$E$13,MATCH(A40,Succès!$A$10:$A$13,0))),"Succès complet",IF(P40&gt;=INDEX(Succès!$E$10:$E$13,MATCH(A40,Succès!$A$10:$A$13,0)),"Engagé, portée modeste",IF(L40&gt;=INDEX(Succès!$D$10:$D$13,MATCH(A40,Succès!$A$10:$A$13,0)),"Portée sans engagement","Standard")))</f>
        <v>Engagé, portée modeste</v>
      </c>
      <c r="T40" s="32">
        <f t="shared" si="3"/>
        <v>0</v>
      </c>
    </row>
    <row r="41" spans="1:20">
      <c r="A41" s="32" t="s">
        <v>25</v>
      </c>
      <c r="B41" s="32" t="s">
        <v>406</v>
      </c>
      <c r="C41" s="32" t="s">
        <v>407</v>
      </c>
      <c r="D41" s="32"/>
      <c r="E41" s="32" t="s">
        <v>120</v>
      </c>
      <c r="F41" s="32" t="s">
        <v>344</v>
      </c>
      <c r="G41" s="33"/>
      <c r="H41" s="32">
        <v>9</v>
      </c>
      <c r="I41" s="32">
        <v>4</v>
      </c>
      <c r="J41" s="32">
        <v>76</v>
      </c>
      <c r="K41" s="32">
        <v>0</v>
      </c>
      <c r="L41" s="33">
        <v>3200000</v>
      </c>
      <c r="M41" s="33">
        <v>288400</v>
      </c>
      <c r="N41" s="33">
        <v>5609</v>
      </c>
      <c r="O41" s="33">
        <v>31600</v>
      </c>
      <c r="P41" s="34">
        <f t="shared" si="0"/>
        <v>0.1017528125</v>
      </c>
      <c r="Q41" s="34">
        <f t="shared" si="1"/>
        <v>9.0124999999999997E-2</v>
      </c>
      <c r="R41" s="35" t="str">
        <f t="shared" si="2"/>
        <v/>
      </c>
      <c r="S41" s="32" t="str">
        <f>IF(AND(L41&gt;=INDEX(Succès!$D$10:$D$13,MATCH(A41,Succès!$A$10:$A$13,0)),P41&gt;=INDEX(Succès!$E$10:$E$13,MATCH(A41,Succès!$A$10:$A$13,0))),"Succès complet",IF(P41&gt;=INDEX(Succès!$E$10:$E$13,MATCH(A41,Succès!$A$10:$A$13,0)),"Engagé, portée modeste",IF(L41&gt;=INDEX(Succès!$D$10:$D$13,MATCH(A41,Succès!$A$10:$A$13,0)),"Portée sans engagement","Standard")))</f>
        <v>Standard</v>
      </c>
      <c r="T41" s="32">
        <f t="shared" si="3"/>
        <v>0</v>
      </c>
    </row>
    <row r="42" spans="1:20">
      <c r="A42" s="32" t="s">
        <v>25</v>
      </c>
      <c r="B42" s="32" t="s">
        <v>408</v>
      </c>
      <c r="C42" s="32" t="s">
        <v>180</v>
      </c>
      <c r="D42" s="32"/>
      <c r="E42" s="32" t="s">
        <v>135</v>
      </c>
      <c r="F42" s="32" t="s">
        <v>346</v>
      </c>
      <c r="G42" s="33"/>
      <c r="H42" s="32">
        <v>10</v>
      </c>
      <c r="I42" s="32">
        <v>0</v>
      </c>
      <c r="J42" s="32">
        <v>9</v>
      </c>
      <c r="K42" s="32">
        <v>0</v>
      </c>
      <c r="L42" s="33">
        <v>5300000</v>
      </c>
      <c r="M42" s="33">
        <v>926100</v>
      </c>
      <c r="N42" s="33">
        <v>9661</v>
      </c>
      <c r="O42" s="33">
        <v>5052</v>
      </c>
      <c r="P42" s="34">
        <f t="shared" si="0"/>
        <v>0.17751188679245283</v>
      </c>
      <c r="Q42" s="34">
        <f t="shared" si="1"/>
        <v>0.17473584905660378</v>
      </c>
      <c r="R42" s="35" t="str">
        <f t="shared" si="2"/>
        <v/>
      </c>
      <c r="S42" s="32" t="str">
        <f>IF(AND(L42&gt;=INDEX(Succès!$D$10:$D$13,MATCH(A42,Succès!$A$10:$A$13,0)),P42&gt;=INDEX(Succès!$E$10:$E$13,MATCH(A42,Succès!$A$10:$A$13,0))),"Succès complet",IF(P42&gt;=INDEX(Succès!$E$10:$E$13,MATCH(A42,Succès!$A$10:$A$13,0)),"Engagé, portée modeste",IF(L42&gt;=INDEX(Succès!$D$10:$D$13,MATCH(A42,Succès!$A$10:$A$13,0)),"Portée sans engagement","Standard")))</f>
        <v>Engagé, portée modeste</v>
      </c>
      <c r="T42" s="32">
        <f t="shared" si="3"/>
        <v>0</v>
      </c>
    </row>
    <row r="43" spans="1:20">
      <c r="A43" s="32" t="s">
        <v>25</v>
      </c>
      <c r="B43" s="32" t="s">
        <v>409</v>
      </c>
      <c r="C43" s="32" t="s">
        <v>157</v>
      </c>
      <c r="D43" s="32" t="s">
        <v>158</v>
      </c>
      <c r="E43" s="32" t="s">
        <v>120</v>
      </c>
      <c r="F43" s="32" t="s">
        <v>341</v>
      </c>
      <c r="G43" s="33"/>
      <c r="H43" s="32">
        <v>8</v>
      </c>
      <c r="I43" s="32">
        <v>4</v>
      </c>
      <c r="J43" s="32">
        <v>124</v>
      </c>
      <c r="K43" s="32">
        <v>0</v>
      </c>
      <c r="L43" s="33">
        <v>13200000</v>
      </c>
      <c r="M43" s="33">
        <v>2200000</v>
      </c>
      <c r="N43" s="33">
        <v>28100</v>
      </c>
      <c r="O43" s="33">
        <v>140200</v>
      </c>
      <c r="P43" s="34">
        <f t="shared" si="0"/>
        <v>0.17941666666666667</v>
      </c>
      <c r="Q43" s="34">
        <f t="shared" si="1"/>
        <v>0.16666666666666666</v>
      </c>
      <c r="R43" s="35" t="str">
        <f t="shared" si="2"/>
        <v/>
      </c>
      <c r="S43" s="32" t="str">
        <f>IF(AND(L43&gt;=INDEX(Succès!$D$10:$D$13,MATCH(A43,Succès!$A$10:$A$13,0)),P43&gt;=INDEX(Succès!$E$10:$E$13,MATCH(A43,Succès!$A$10:$A$13,0))),"Succès complet",IF(P43&gt;=INDEX(Succès!$E$10:$E$13,MATCH(A43,Succès!$A$10:$A$13,0)),"Engagé, portée modeste",IF(L43&gt;=INDEX(Succès!$D$10:$D$13,MATCH(A43,Succès!$A$10:$A$13,0)),"Portée sans engagement","Standard")))</f>
        <v>Succès complet</v>
      </c>
      <c r="T43" s="32">
        <f t="shared" si="3"/>
        <v>1</v>
      </c>
    </row>
    <row r="44" spans="1:20">
      <c r="A44" s="32" t="s">
        <v>25</v>
      </c>
      <c r="B44" s="32" t="s">
        <v>410</v>
      </c>
      <c r="C44" s="32" t="s">
        <v>411</v>
      </c>
      <c r="D44" s="32"/>
      <c r="E44" s="32" t="s">
        <v>135</v>
      </c>
      <c r="F44" s="32" t="s">
        <v>344</v>
      </c>
      <c r="G44" s="33"/>
      <c r="H44" s="32">
        <v>15</v>
      </c>
      <c r="I44" s="32">
        <v>0</v>
      </c>
      <c r="J44" s="32">
        <v>0</v>
      </c>
      <c r="K44" s="32">
        <v>0</v>
      </c>
      <c r="L44" s="33">
        <v>9300000</v>
      </c>
      <c r="M44" s="33">
        <v>1600000</v>
      </c>
      <c r="N44" s="33">
        <v>23400</v>
      </c>
      <c r="O44" s="33">
        <v>229200</v>
      </c>
      <c r="P44" s="34">
        <f t="shared" si="0"/>
        <v>0.19920430107526882</v>
      </c>
      <c r="Q44" s="34">
        <f t="shared" si="1"/>
        <v>0.17204301075268819</v>
      </c>
      <c r="R44" s="35" t="str">
        <f t="shared" si="2"/>
        <v/>
      </c>
      <c r="S44" s="32" t="str">
        <f>IF(AND(L44&gt;=INDEX(Succès!$D$10:$D$13,MATCH(A44,Succès!$A$10:$A$13,0)),P44&gt;=INDEX(Succès!$E$10:$E$13,MATCH(A44,Succès!$A$10:$A$13,0))),"Succès complet",IF(P44&gt;=INDEX(Succès!$E$10:$E$13,MATCH(A44,Succès!$A$10:$A$13,0)),"Engagé, portée modeste",IF(L44&gt;=INDEX(Succès!$D$10:$D$13,MATCH(A44,Succès!$A$10:$A$13,0)),"Portée sans engagement","Standard")))</f>
        <v>Engagé, portée modeste</v>
      </c>
      <c r="T44" s="32">
        <f t="shared" si="3"/>
        <v>0</v>
      </c>
    </row>
    <row r="45" spans="1:20">
      <c r="A45" s="32" t="s">
        <v>25</v>
      </c>
      <c r="B45" s="32" t="s">
        <v>412</v>
      </c>
      <c r="C45" s="32" t="s">
        <v>188</v>
      </c>
      <c r="D45" s="32" t="s">
        <v>137</v>
      </c>
      <c r="E45" s="32" t="s">
        <v>135</v>
      </c>
      <c r="F45" s="32" t="s">
        <v>344</v>
      </c>
      <c r="G45" s="33"/>
      <c r="H45" s="32">
        <v>12</v>
      </c>
      <c r="I45" s="32">
        <v>0</v>
      </c>
      <c r="J45" s="32">
        <v>0</v>
      </c>
      <c r="K45" s="32">
        <v>0</v>
      </c>
      <c r="L45" s="33">
        <v>14100000</v>
      </c>
      <c r="M45" s="33">
        <v>3300000</v>
      </c>
      <c r="N45" s="33">
        <v>38800</v>
      </c>
      <c r="O45" s="33">
        <v>17100</v>
      </c>
      <c r="P45" s="34">
        <f t="shared" si="0"/>
        <v>0.23800709219858157</v>
      </c>
      <c r="Q45" s="34">
        <f t="shared" si="1"/>
        <v>0.23404255319148937</v>
      </c>
      <c r="R45" s="35" t="str">
        <f t="shared" si="2"/>
        <v/>
      </c>
      <c r="S45" s="32" t="str">
        <f>IF(AND(L45&gt;=INDEX(Succès!$D$10:$D$13,MATCH(A45,Succès!$A$10:$A$13,0)),P45&gt;=INDEX(Succès!$E$10:$E$13,MATCH(A45,Succès!$A$10:$A$13,0))),"Succès complet",IF(P45&gt;=INDEX(Succès!$E$10:$E$13,MATCH(A45,Succès!$A$10:$A$13,0)),"Engagé, portée modeste",IF(L45&gt;=INDEX(Succès!$D$10:$D$13,MATCH(A45,Succès!$A$10:$A$13,0)),"Portée sans engagement","Standard")))</f>
        <v>Succès complet</v>
      </c>
      <c r="T45" s="32">
        <f t="shared" si="3"/>
        <v>1</v>
      </c>
    </row>
    <row r="46" spans="1:20">
      <c r="A46" s="32" t="s">
        <v>25</v>
      </c>
      <c r="B46" s="32" t="s">
        <v>413</v>
      </c>
      <c r="C46" s="32" t="s">
        <v>414</v>
      </c>
      <c r="D46" s="32"/>
      <c r="E46" s="32" t="s">
        <v>120</v>
      </c>
      <c r="F46" s="32" t="s">
        <v>346</v>
      </c>
      <c r="G46" s="33"/>
      <c r="H46" s="32">
        <v>8</v>
      </c>
      <c r="I46" s="32">
        <v>3</v>
      </c>
      <c r="J46" s="32">
        <v>77</v>
      </c>
      <c r="K46" s="32">
        <v>0</v>
      </c>
      <c r="L46" s="33">
        <v>10100000</v>
      </c>
      <c r="M46" s="33">
        <v>778100</v>
      </c>
      <c r="N46" s="33">
        <v>5106</v>
      </c>
      <c r="O46" s="33">
        <v>118900</v>
      </c>
      <c r="P46" s="34">
        <f t="shared" si="0"/>
        <v>8.9317425742574258E-2</v>
      </c>
      <c r="Q46" s="34">
        <f t="shared" si="1"/>
        <v>7.7039603960396039E-2</v>
      </c>
      <c r="R46" s="35" t="str">
        <f t="shared" si="2"/>
        <v/>
      </c>
      <c r="S46" s="32" t="str">
        <f>IF(AND(L46&gt;=INDEX(Succès!$D$10:$D$13,MATCH(A46,Succès!$A$10:$A$13,0)),P46&gt;=INDEX(Succès!$E$10:$E$13,MATCH(A46,Succès!$A$10:$A$13,0))),"Succès complet",IF(P46&gt;=INDEX(Succès!$E$10:$E$13,MATCH(A46,Succès!$A$10:$A$13,0)),"Engagé, portée modeste",IF(L46&gt;=INDEX(Succès!$D$10:$D$13,MATCH(A46,Succès!$A$10:$A$13,0)),"Portée sans engagement","Standard")))</f>
        <v>Standard</v>
      </c>
      <c r="T46" s="32">
        <f t="shared" si="3"/>
        <v>0</v>
      </c>
    </row>
    <row r="47" spans="1:20">
      <c r="A47" s="32" t="s">
        <v>25</v>
      </c>
      <c r="B47" s="32" t="s">
        <v>415</v>
      </c>
      <c r="C47" s="32" t="s">
        <v>416</v>
      </c>
      <c r="D47" s="32"/>
      <c r="E47" s="32" t="s">
        <v>120</v>
      </c>
      <c r="F47" s="32" t="s">
        <v>344</v>
      </c>
      <c r="G47" s="33"/>
      <c r="H47" s="32">
        <v>10</v>
      </c>
      <c r="I47" s="32">
        <v>7</v>
      </c>
      <c r="J47" s="32">
        <v>81</v>
      </c>
      <c r="K47" s="32">
        <v>1</v>
      </c>
      <c r="L47" s="33">
        <v>3500000</v>
      </c>
      <c r="M47" s="33">
        <v>314600</v>
      </c>
      <c r="N47" s="33">
        <v>4375</v>
      </c>
      <c r="O47" s="33">
        <v>19400</v>
      </c>
      <c r="P47" s="34">
        <f t="shared" si="0"/>
        <v>9.6678571428571433E-2</v>
      </c>
      <c r="Q47" s="34">
        <f t="shared" si="1"/>
        <v>8.9885714285714291E-2</v>
      </c>
      <c r="R47" s="35" t="str">
        <f t="shared" si="2"/>
        <v/>
      </c>
      <c r="S47" s="32" t="str">
        <f>IF(AND(L47&gt;=INDEX(Succès!$D$10:$D$13,MATCH(A47,Succès!$A$10:$A$13,0)),P47&gt;=INDEX(Succès!$E$10:$E$13,MATCH(A47,Succès!$A$10:$A$13,0))),"Succès complet",IF(P47&gt;=INDEX(Succès!$E$10:$E$13,MATCH(A47,Succès!$A$10:$A$13,0)),"Engagé, portée modeste",IF(L47&gt;=INDEX(Succès!$D$10:$D$13,MATCH(A47,Succès!$A$10:$A$13,0)),"Portée sans engagement","Standard")))</f>
        <v>Standard</v>
      </c>
      <c r="T47" s="32">
        <f t="shared" si="3"/>
        <v>0</v>
      </c>
    </row>
    <row r="48" spans="1:20">
      <c r="A48" s="32" t="s">
        <v>25</v>
      </c>
      <c r="B48" s="32" t="s">
        <v>417</v>
      </c>
      <c r="C48" s="32" t="s">
        <v>174</v>
      </c>
      <c r="D48" s="32"/>
      <c r="E48" s="32" t="s">
        <v>131</v>
      </c>
      <c r="F48" s="32" t="s">
        <v>344</v>
      </c>
      <c r="G48" s="33"/>
      <c r="H48" s="32">
        <v>7</v>
      </c>
      <c r="I48" s="32">
        <v>3</v>
      </c>
      <c r="J48" s="32">
        <v>71</v>
      </c>
      <c r="K48" s="32">
        <v>0</v>
      </c>
      <c r="L48" s="33">
        <v>43200000</v>
      </c>
      <c r="M48" s="33">
        <v>4700000</v>
      </c>
      <c r="N48" s="33">
        <v>26200</v>
      </c>
      <c r="O48" s="33">
        <v>45100</v>
      </c>
      <c r="P48" s="34">
        <f t="shared" si="0"/>
        <v>0.11044675925925926</v>
      </c>
      <c r="Q48" s="34">
        <f t="shared" si="1"/>
        <v>0.10879629629629629</v>
      </c>
      <c r="R48" s="35" t="str">
        <f t="shared" si="2"/>
        <v/>
      </c>
      <c r="S48" s="32" t="str">
        <f>IF(AND(L48&gt;=INDEX(Succès!$D$10:$D$13,MATCH(A48,Succès!$A$10:$A$13,0)),P48&gt;=INDEX(Succès!$E$10:$E$13,MATCH(A48,Succès!$A$10:$A$13,0))),"Succès complet",IF(P48&gt;=INDEX(Succès!$E$10:$E$13,MATCH(A48,Succès!$A$10:$A$13,0)),"Engagé, portée modeste",IF(L48&gt;=INDEX(Succès!$D$10:$D$13,MATCH(A48,Succès!$A$10:$A$13,0)),"Portée sans engagement","Standard")))</f>
        <v>Succès complet</v>
      </c>
      <c r="T48" s="32">
        <f t="shared" si="3"/>
        <v>1</v>
      </c>
    </row>
    <row r="49" spans="1:20">
      <c r="A49" s="32" t="s">
        <v>25</v>
      </c>
      <c r="B49" s="32" t="s">
        <v>418</v>
      </c>
      <c r="C49" s="32" t="s">
        <v>419</v>
      </c>
      <c r="D49" s="32"/>
      <c r="E49" s="32" t="s">
        <v>120</v>
      </c>
      <c r="F49" s="32" t="s">
        <v>344</v>
      </c>
      <c r="G49" s="33"/>
      <c r="H49" s="32">
        <v>7</v>
      </c>
      <c r="I49" s="32">
        <v>6</v>
      </c>
      <c r="J49" s="32">
        <v>90</v>
      </c>
      <c r="K49" s="32">
        <v>1</v>
      </c>
      <c r="L49" s="33">
        <v>291300</v>
      </c>
      <c r="M49" s="33">
        <v>12200</v>
      </c>
      <c r="N49" s="33">
        <v>220</v>
      </c>
      <c r="O49" s="33">
        <v>5130</v>
      </c>
      <c r="P49" s="34">
        <f t="shared" si="0"/>
        <v>6.0247167868177139E-2</v>
      </c>
      <c r="Q49" s="34">
        <f t="shared" si="1"/>
        <v>4.1881222107792652E-2</v>
      </c>
      <c r="R49" s="35" t="str">
        <f t="shared" si="2"/>
        <v/>
      </c>
      <c r="S49" s="32" t="str">
        <f>IF(AND(L49&gt;=INDEX(Succès!$D$10:$D$13,MATCH(A49,Succès!$A$10:$A$13,0)),P49&gt;=INDEX(Succès!$E$10:$E$13,MATCH(A49,Succès!$A$10:$A$13,0))),"Succès complet",IF(P49&gt;=INDEX(Succès!$E$10:$E$13,MATCH(A49,Succès!$A$10:$A$13,0)),"Engagé, portée modeste",IF(L49&gt;=INDEX(Succès!$D$10:$D$13,MATCH(A49,Succès!$A$10:$A$13,0)),"Portée sans engagement","Standard")))</f>
        <v>Standard</v>
      </c>
      <c r="T49" s="32">
        <f t="shared" si="3"/>
        <v>0</v>
      </c>
    </row>
    <row r="50" spans="1:20">
      <c r="A50" s="32" t="s">
        <v>25</v>
      </c>
      <c r="B50" s="32" t="s">
        <v>420</v>
      </c>
      <c r="C50" s="32" t="s">
        <v>189</v>
      </c>
      <c r="D50" s="32" t="s">
        <v>190</v>
      </c>
      <c r="E50" s="32" t="s">
        <v>135</v>
      </c>
      <c r="F50" s="32" t="s">
        <v>344</v>
      </c>
      <c r="G50" s="33"/>
      <c r="H50" s="32">
        <v>23</v>
      </c>
      <c r="I50" s="32">
        <v>3</v>
      </c>
      <c r="J50" s="32">
        <v>58</v>
      </c>
      <c r="K50" s="32">
        <v>1</v>
      </c>
      <c r="L50" s="33">
        <v>10500000</v>
      </c>
      <c r="M50" s="33">
        <v>1800000</v>
      </c>
      <c r="N50" s="33">
        <v>24000</v>
      </c>
      <c r="O50" s="33">
        <v>130600</v>
      </c>
      <c r="P50" s="34">
        <f t="shared" si="0"/>
        <v>0.18615238095238096</v>
      </c>
      <c r="Q50" s="34">
        <f t="shared" si="1"/>
        <v>0.17142857142857143</v>
      </c>
      <c r="R50" s="35" t="str">
        <f t="shared" si="2"/>
        <v/>
      </c>
      <c r="S50" s="32" t="str">
        <f>IF(AND(L50&gt;=INDEX(Succès!$D$10:$D$13,MATCH(A50,Succès!$A$10:$A$13,0)),P50&gt;=INDEX(Succès!$E$10:$E$13,MATCH(A50,Succès!$A$10:$A$13,0))),"Succès complet",IF(P50&gt;=INDEX(Succès!$E$10:$E$13,MATCH(A50,Succès!$A$10:$A$13,0)),"Engagé, portée modeste",IF(L50&gt;=INDEX(Succès!$D$10:$D$13,MATCH(A50,Succès!$A$10:$A$13,0)),"Portée sans engagement","Standard")))</f>
        <v>Succès complet</v>
      </c>
      <c r="T50" s="32">
        <f t="shared" si="3"/>
        <v>1</v>
      </c>
    </row>
    <row r="51" spans="1:20">
      <c r="A51" s="32" t="s">
        <v>25</v>
      </c>
      <c r="B51" s="32" t="s">
        <v>421</v>
      </c>
      <c r="C51" s="32" t="s">
        <v>422</v>
      </c>
      <c r="D51" s="32"/>
      <c r="E51" s="32" t="s">
        <v>124</v>
      </c>
      <c r="F51" s="32" t="s">
        <v>344</v>
      </c>
      <c r="G51" s="33"/>
      <c r="H51" s="32">
        <v>12</v>
      </c>
      <c r="I51" s="32">
        <v>7</v>
      </c>
      <c r="J51" s="32">
        <v>103</v>
      </c>
      <c r="K51" s="32">
        <v>1</v>
      </c>
      <c r="L51" s="33">
        <v>14100000</v>
      </c>
      <c r="M51" s="33">
        <v>951000</v>
      </c>
      <c r="N51" s="33">
        <v>3828</v>
      </c>
      <c r="O51" s="33">
        <v>6113</v>
      </c>
      <c r="P51" s="34">
        <f t="shared" si="0"/>
        <v>6.815184397163121E-2</v>
      </c>
      <c r="Q51" s="34">
        <f t="shared" si="1"/>
        <v>6.7446808510638293E-2</v>
      </c>
      <c r="R51" s="35" t="str">
        <f t="shared" si="2"/>
        <v/>
      </c>
      <c r="S51" s="32" t="str">
        <f>IF(AND(L51&gt;=INDEX(Succès!$D$10:$D$13,MATCH(A51,Succès!$A$10:$A$13,0)),P51&gt;=INDEX(Succès!$E$10:$E$13,MATCH(A51,Succès!$A$10:$A$13,0))),"Succès complet",IF(P51&gt;=INDEX(Succès!$E$10:$E$13,MATCH(A51,Succès!$A$10:$A$13,0)),"Engagé, portée modeste",IF(L51&gt;=INDEX(Succès!$D$10:$D$13,MATCH(A51,Succès!$A$10:$A$13,0)),"Portée sans engagement","Standard")))</f>
        <v>Portée sans engagement</v>
      </c>
      <c r="T51" s="32">
        <f t="shared" si="3"/>
        <v>0</v>
      </c>
    </row>
    <row r="52" spans="1:20">
      <c r="A52" s="32" t="s">
        <v>25</v>
      </c>
      <c r="B52" s="32" t="s">
        <v>423</v>
      </c>
      <c r="C52" s="32" t="s">
        <v>424</v>
      </c>
      <c r="D52" s="32"/>
      <c r="E52" s="32" t="s">
        <v>124</v>
      </c>
      <c r="F52" s="32" t="s">
        <v>344</v>
      </c>
      <c r="G52" s="33"/>
      <c r="H52" s="32">
        <v>56</v>
      </c>
      <c r="I52" s="32">
        <v>10</v>
      </c>
      <c r="J52" s="32">
        <v>120</v>
      </c>
      <c r="K52" s="32">
        <v>1</v>
      </c>
      <c r="L52" s="33">
        <v>4200000</v>
      </c>
      <c r="M52" s="33">
        <v>265100</v>
      </c>
      <c r="N52" s="33">
        <v>3599</v>
      </c>
      <c r="O52" s="33">
        <v>72400</v>
      </c>
      <c r="P52" s="34">
        <f t="shared" si="0"/>
        <v>8.1214047619047616E-2</v>
      </c>
      <c r="Q52" s="34">
        <f t="shared" si="1"/>
        <v>6.3119047619047616E-2</v>
      </c>
      <c r="R52" s="35" t="str">
        <f t="shared" si="2"/>
        <v/>
      </c>
      <c r="S52" s="32" t="str">
        <f>IF(AND(L52&gt;=INDEX(Succès!$D$10:$D$13,MATCH(A52,Succès!$A$10:$A$13,0)),P52&gt;=INDEX(Succès!$E$10:$E$13,MATCH(A52,Succès!$A$10:$A$13,0))),"Succès complet",IF(P52&gt;=INDEX(Succès!$E$10:$E$13,MATCH(A52,Succès!$A$10:$A$13,0)),"Engagé, portée modeste",IF(L52&gt;=INDEX(Succès!$D$10:$D$13,MATCH(A52,Succès!$A$10:$A$13,0)),"Portée sans engagement","Standard")))</f>
        <v>Standard</v>
      </c>
      <c r="T52" s="32">
        <f t="shared" si="3"/>
        <v>0</v>
      </c>
    </row>
    <row r="53" spans="1:20">
      <c r="A53" s="32" t="s">
        <v>25</v>
      </c>
      <c r="B53" s="32" t="s">
        <v>425</v>
      </c>
      <c r="C53" s="32" t="s">
        <v>426</v>
      </c>
      <c r="D53" s="32"/>
      <c r="E53" s="32" t="s">
        <v>120</v>
      </c>
      <c r="F53" s="32" t="s">
        <v>344</v>
      </c>
      <c r="G53" s="33"/>
      <c r="H53" s="32">
        <v>10</v>
      </c>
      <c r="I53" s="32">
        <v>5</v>
      </c>
      <c r="J53" s="32">
        <v>73</v>
      </c>
      <c r="K53" s="32">
        <v>1</v>
      </c>
      <c r="L53" s="33">
        <v>1200000</v>
      </c>
      <c r="M53" s="33">
        <v>186200</v>
      </c>
      <c r="N53" s="33">
        <v>2161</v>
      </c>
      <c r="O53" s="33">
        <v>17200</v>
      </c>
      <c r="P53" s="34">
        <f t="shared" si="0"/>
        <v>0.17130083333333335</v>
      </c>
      <c r="Q53" s="34">
        <f t="shared" si="1"/>
        <v>0.15516666666666667</v>
      </c>
      <c r="R53" s="35" t="str">
        <f t="shared" si="2"/>
        <v/>
      </c>
      <c r="S53" s="32" t="str">
        <f>IF(AND(L53&gt;=INDEX(Succès!$D$10:$D$13,MATCH(A53,Succès!$A$10:$A$13,0)),P53&gt;=INDEX(Succès!$E$10:$E$13,MATCH(A53,Succès!$A$10:$A$13,0))),"Succès complet",IF(P53&gt;=INDEX(Succès!$E$10:$E$13,MATCH(A53,Succès!$A$10:$A$13,0)),"Engagé, portée modeste",IF(L53&gt;=INDEX(Succès!$D$10:$D$13,MATCH(A53,Succès!$A$10:$A$13,0)),"Portée sans engagement","Standard")))</f>
        <v>Engagé, portée modeste</v>
      </c>
      <c r="T53" s="32">
        <f t="shared" si="3"/>
        <v>0</v>
      </c>
    </row>
    <row r="54" spans="1:20">
      <c r="A54" s="32" t="s">
        <v>25</v>
      </c>
      <c r="B54" s="32" t="s">
        <v>427</v>
      </c>
      <c r="C54" s="32" t="s">
        <v>428</v>
      </c>
      <c r="D54" s="32"/>
      <c r="E54" s="32" t="s">
        <v>124</v>
      </c>
      <c r="F54" s="32" t="s">
        <v>344</v>
      </c>
      <c r="G54" s="33"/>
      <c r="H54" s="32">
        <v>9</v>
      </c>
      <c r="I54" s="32">
        <v>8</v>
      </c>
      <c r="J54" s="32">
        <v>106</v>
      </c>
      <c r="K54" s="32">
        <v>1</v>
      </c>
      <c r="L54" s="33">
        <v>3300000</v>
      </c>
      <c r="M54" s="33">
        <v>492600</v>
      </c>
      <c r="N54" s="33">
        <v>5326</v>
      </c>
      <c r="O54" s="33">
        <v>10000</v>
      </c>
      <c r="P54" s="34">
        <f t="shared" si="0"/>
        <v>0.15391696969696969</v>
      </c>
      <c r="Q54" s="34">
        <f t="shared" si="1"/>
        <v>0.14927272727272728</v>
      </c>
      <c r="R54" s="35" t="str">
        <f t="shared" si="2"/>
        <v/>
      </c>
      <c r="S54" s="32" t="str">
        <f>IF(AND(L54&gt;=INDEX(Succès!$D$10:$D$13,MATCH(A54,Succès!$A$10:$A$13,0)),P54&gt;=INDEX(Succès!$E$10:$E$13,MATCH(A54,Succès!$A$10:$A$13,0))),"Succès complet",IF(P54&gt;=INDEX(Succès!$E$10:$E$13,MATCH(A54,Succès!$A$10:$A$13,0)),"Engagé, portée modeste",IF(L54&gt;=INDEX(Succès!$D$10:$D$13,MATCH(A54,Succès!$A$10:$A$13,0)),"Portée sans engagement","Standard")))</f>
        <v>Engagé, portée modeste</v>
      </c>
      <c r="T54" s="32">
        <f t="shared" si="3"/>
        <v>0</v>
      </c>
    </row>
    <row r="55" spans="1:20">
      <c r="A55" s="32" t="s">
        <v>25</v>
      </c>
      <c r="B55" s="32" t="s">
        <v>429</v>
      </c>
      <c r="C55" s="32" t="s">
        <v>149</v>
      </c>
      <c r="D55" s="32"/>
      <c r="E55" s="32" t="s">
        <v>116</v>
      </c>
      <c r="F55" s="32" t="s">
        <v>341</v>
      </c>
      <c r="G55" s="33"/>
      <c r="H55" s="32">
        <v>8</v>
      </c>
      <c r="I55" s="32">
        <v>0</v>
      </c>
      <c r="J55" s="32">
        <v>5</v>
      </c>
      <c r="K55" s="32">
        <v>0</v>
      </c>
      <c r="L55" s="33">
        <v>162200000</v>
      </c>
      <c r="M55" s="33">
        <v>17100000</v>
      </c>
      <c r="N55" s="33">
        <v>294300</v>
      </c>
      <c r="O55" s="33">
        <v>110200</v>
      </c>
      <c r="P55" s="34">
        <f t="shared" si="0"/>
        <v>0.10791923551171394</v>
      </c>
      <c r="Q55" s="34">
        <f t="shared" si="1"/>
        <v>0.10542540073982737</v>
      </c>
      <c r="R55" s="35" t="str">
        <f t="shared" si="2"/>
        <v/>
      </c>
      <c r="S55" s="32" t="str">
        <f>IF(AND(L55&gt;=INDEX(Succès!$D$10:$D$13,MATCH(A55,Succès!$A$10:$A$13,0)),P55&gt;=INDEX(Succès!$E$10:$E$13,MATCH(A55,Succès!$A$10:$A$13,0))),"Succès complet",IF(P55&gt;=INDEX(Succès!$E$10:$E$13,MATCH(A55,Succès!$A$10:$A$13,0)),"Engagé, portée modeste",IF(L55&gt;=INDEX(Succès!$D$10:$D$13,MATCH(A55,Succès!$A$10:$A$13,0)),"Portée sans engagement","Standard")))</f>
        <v>Succès complet</v>
      </c>
      <c r="T55" s="32">
        <f t="shared" si="3"/>
        <v>1</v>
      </c>
    </row>
    <row r="56" spans="1:20">
      <c r="A56" s="32" t="s">
        <v>25</v>
      </c>
      <c r="B56" s="32" t="s">
        <v>430</v>
      </c>
      <c r="C56" s="32" t="s">
        <v>431</v>
      </c>
      <c r="D56" s="32"/>
      <c r="E56" s="32" t="s">
        <v>120</v>
      </c>
      <c r="F56" s="32" t="s">
        <v>344</v>
      </c>
      <c r="G56" s="33"/>
      <c r="H56" s="32">
        <v>83</v>
      </c>
      <c r="I56" s="32">
        <v>7</v>
      </c>
      <c r="J56" s="32">
        <v>90</v>
      </c>
      <c r="K56" s="32">
        <v>1</v>
      </c>
      <c r="L56" s="33">
        <v>4100000</v>
      </c>
      <c r="M56" s="33">
        <v>364100</v>
      </c>
      <c r="N56" s="33">
        <v>12300</v>
      </c>
      <c r="O56" s="33">
        <v>96600</v>
      </c>
      <c r="P56" s="34">
        <f t="shared" si="0"/>
        <v>0.11536585365853659</v>
      </c>
      <c r="Q56" s="34">
        <f t="shared" si="1"/>
        <v>8.8804878048780483E-2</v>
      </c>
      <c r="R56" s="35" t="str">
        <f t="shared" si="2"/>
        <v/>
      </c>
      <c r="S56" s="32" t="str">
        <f>IF(AND(L56&gt;=INDEX(Succès!$D$10:$D$13,MATCH(A56,Succès!$A$10:$A$13,0)),P56&gt;=INDEX(Succès!$E$10:$E$13,MATCH(A56,Succès!$A$10:$A$13,0))),"Succès complet",IF(P56&gt;=INDEX(Succès!$E$10:$E$13,MATCH(A56,Succès!$A$10:$A$13,0)),"Engagé, portée modeste",IF(L56&gt;=INDEX(Succès!$D$10:$D$13,MATCH(A56,Succès!$A$10:$A$13,0)),"Portée sans engagement","Standard")))</f>
        <v>Engagé, portée modeste</v>
      </c>
      <c r="T56" s="32">
        <f t="shared" si="3"/>
        <v>0</v>
      </c>
    </row>
    <row r="57" spans="1:20">
      <c r="A57" s="32" t="s">
        <v>25</v>
      </c>
      <c r="B57" s="32" t="s">
        <v>432</v>
      </c>
      <c r="C57" s="32" t="s">
        <v>182</v>
      </c>
      <c r="D57" s="32"/>
      <c r="E57" s="32" t="s">
        <v>135</v>
      </c>
      <c r="F57" s="32" t="s">
        <v>341</v>
      </c>
      <c r="G57" s="33"/>
      <c r="H57" s="32">
        <v>8</v>
      </c>
      <c r="I57" s="32">
        <v>2</v>
      </c>
      <c r="J57" s="32">
        <v>33</v>
      </c>
      <c r="K57" s="32">
        <v>0</v>
      </c>
      <c r="L57" s="33">
        <v>90400000</v>
      </c>
      <c r="M57" s="33">
        <v>10300000</v>
      </c>
      <c r="N57" s="33">
        <v>75600</v>
      </c>
      <c r="O57" s="33">
        <v>129900</v>
      </c>
      <c r="P57" s="34">
        <f t="shared" si="0"/>
        <v>0.1162112831858407</v>
      </c>
      <c r="Q57" s="34">
        <f t="shared" si="1"/>
        <v>0.11393805309734513</v>
      </c>
      <c r="R57" s="35" t="str">
        <f t="shared" si="2"/>
        <v/>
      </c>
      <c r="S57" s="32" t="str">
        <f>IF(AND(L57&gt;=INDEX(Succès!$D$10:$D$13,MATCH(A57,Succès!$A$10:$A$13,0)),P57&gt;=INDEX(Succès!$E$10:$E$13,MATCH(A57,Succès!$A$10:$A$13,0))),"Succès complet",IF(P57&gt;=INDEX(Succès!$E$10:$E$13,MATCH(A57,Succès!$A$10:$A$13,0)),"Engagé, portée modeste",IF(L57&gt;=INDEX(Succès!$D$10:$D$13,MATCH(A57,Succès!$A$10:$A$13,0)),"Portée sans engagement","Standard")))</f>
        <v>Succès complet</v>
      </c>
      <c r="T57" s="32">
        <f t="shared" si="3"/>
        <v>1</v>
      </c>
    </row>
    <row r="58" spans="1:20">
      <c r="A58" s="32" t="s">
        <v>25</v>
      </c>
      <c r="B58" s="32" t="s">
        <v>433</v>
      </c>
      <c r="C58" s="32" t="s">
        <v>177</v>
      </c>
      <c r="D58" s="32"/>
      <c r="E58" s="32" t="s">
        <v>135</v>
      </c>
      <c r="F58" s="32" t="s">
        <v>346</v>
      </c>
      <c r="G58" s="33"/>
      <c r="H58" s="32">
        <v>12</v>
      </c>
      <c r="I58" s="32">
        <v>3</v>
      </c>
      <c r="J58" s="32">
        <v>24</v>
      </c>
      <c r="K58" s="32">
        <v>1</v>
      </c>
      <c r="L58" s="33">
        <v>222300000</v>
      </c>
      <c r="M58" s="33">
        <v>28000000</v>
      </c>
      <c r="N58" s="33">
        <v>1500000</v>
      </c>
      <c r="O58" s="33">
        <v>2100000</v>
      </c>
      <c r="P58" s="34">
        <f t="shared" si="0"/>
        <v>0.14215024741340532</v>
      </c>
      <c r="Q58" s="34">
        <f t="shared" si="1"/>
        <v>0.12595591542959964</v>
      </c>
      <c r="R58" s="35" t="str">
        <f t="shared" si="2"/>
        <v/>
      </c>
      <c r="S58" s="32" t="str">
        <f>IF(AND(L58&gt;=INDEX(Succès!$D$10:$D$13,MATCH(A58,Succès!$A$10:$A$13,0)),P58&gt;=INDEX(Succès!$E$10:$E$13,MATCH(A58,Succès!$A$10:$A$13,0))),"Succès complet",IF(P58&gt;=INDEX(Succès!$E$10:$E$13,MATCH(A58,Succès!$A$10:$A$13,0)),"Engagé, portée modeste",IF(L58&gt;=INDEX(Succès!$D$10:$D$13,MATCH(A58,Succès!$A$10:$A$13,0)),"Portée sans engagement","Standard")))</f>
        <v>Succès complet</v>
      </c>
      <c r="T58" s="32">
        <f t="shared" si="3"/>
        <v>1</v>
      </c>
    </row>
    <row r="59" spans="1:20">
      <c r="A59" s="32" t="s">
        <v>25</v>
      </c>
      <c r="B59" s="32" t="s">
        <v>434</v>
      </c>
      <c r="C59" s="32" t="s">
        <v>164</v>
      </c>
      <c r="D59" s="32" t="s">
        <v>126</v>
      </c>
      <c r="E59" s="32" t="s">
        <v>124</v>
      </c>
      <c r="F59" s="32" t="s">
        <v>346</v>
      </c>
      <c r="G59" s="33"/>
      <c r="H59" s="32">
        <v>9</v>
      </c>
      <c r="I59" s="32">
        <v>4</v>
      </c>
      <c r="J59" s="32">
        <v>80</v>
      </c>
      <c r="K59" s="32">
        <v>1</v>
      </c>
      <c r="L59" s="33">
        <v>33500000</v>
      </c>
      <c r="M59" s="33">
        <v>5400000</v>
      </c>
      <c r="N59" s="33">
        <v>73500</v>
      </c>
      <c r="O59" s="33">
        <v>237700</v>
      </c>
      <c r="P59" s="34">
        <f t="shared" si="0"/>
        <v>0.17048358208955225</v>
      </c>
      <c r="Q59" s="34">
        <f t="shared" si="1"/>
        <v>0.16119402985074627</v>
      </c>
      <c r="R59" s="35" t="str">
        <f t="shared" si="2"/>
        <v/>
      </c>
      <c r="S59" s="32" t="str">
        <f>IF(AND(L59&gt;=INDEX(Succès!$D$10:$D$13,MATCH(A59,Succès!$A$10:$A$13,0)),P59&gt;=INDEX(Succès!$E$10:$E$13,MATCH(A59,Succès!$A$10:$A$13,0))),"Succès complet",IF(P59&gt;=INDEX(Succès!$E$10:$E$13,MATCH(A59,Succès!$A$10:$A$13,0)),"Engagé, portée modeste",IF(L59&gt;=INDEX(Succès!$D$10:$D$13,MATCH(A59,Succès!$A$10:$A$13,0)),"Portée sans engagement","Standard")))</f>
        <v>Succès complet</v>
      </c>
      <c r="T59" s="32">
        <f t="shared" si="3"/>
        <v>1</v>
      </c>
    </row>
    <row r="60" spans="1:20">
      <c r="A60" s="32" t="s">
        <v>25</v>
      </c>
      <c r="B60" s="32" t="s">
        <v>435</v>
      </c>
      <c r="C60" s="32" t="s">
        <v>184</v>
      </c>
      <c r="D60" s="32"/>
      <c r="E60" s="32" t="s">
        <v>135</v>
      </c>
      <c r="F60" s="32" t="s">
        <v>341</v>
      </c>
      <c r="G60" s="33"/>
      <c r="H60" s="32">
        <v>9</v>
      </c>
      <c r="I60" s="32">
        <v>0</v>
      </c>
      <c r="J60" s="32">
        <v>8</v>
      </c>
      <c r="K60" s="32">
        <v>0</v>
      </c>
      <c r="L60" s="33">
        <v>54300000</v>
      </c>
      <c r="M60" s="33">
        <v>4200000</v>
      </c>
      <c r="N60" s="33">
        <v>18700</v>
      </c>
      <c r="O60" s="33">
        <v>16400</v>
      </c>
      <c r="P60" s="34">
        <f t="shared" si="0"/>
        <v>7.799447513812155E-2</v>
      </c>
      <c r="Q60" s="34">
        <f t="shared" si="1"/>
        <v>7.7348066298342538E-2</v>
      </c>
      <c r="R60" s="35" t="str">
        <f t="shared" si="2"/>
        <v/>
      </c>
      <c r="S60" s="32" t="str">
        <f>IF(AND(L60&gt;=INDEX(Succès!$D$10:$D$13,MATCH(A60,Succès!$A$10:$A$13,0)),P60&gt;=INDEX(Succès!$E$10:$E$13,MATCH(A60,Succès!$A$10:$A$13,0))),"Succès complet",IF(P60&gt;=INDEX(Succès!$E$10:$E$13,MATCH(A60,Succès!$A$10:$A$13,0)),"Engagé, portée modeste",IF(L60&gt;=INDEX(Succès!$D$10:$D$13,MATCH(A60,Succès!$A$10:$A$13,0)),"Portée sans engagement","Standard")))</f>
        <v>Portée sans engagement</v>
      </c>
      <c r="T60" s="32">
        <f t="shared" si="3"/>
        <v>0</v>
      </c>
    </row>
    <row r="61" spans="1:20">
      <c r="A61" s="32" t="s">
        <v>25</v>
      </c>
      <c r="B61" s="32" t="s">
        <v>436</v>
      </c>
      <c r="C61" s="32" t="s">
        <v>437</v>
      </c>
      <c r="D61" s="32"/>
      <c r="E61" s="32" t="s">
        <v>120</v>
      </c>
      <c r="F61" s="32" t="s">
        <v>344</v>
      </c>
      <c r="G61" s="33"/>
      <c r="H61" s="32">
        <v>8</v>
      </c>
      <c r="I61" s="32">
        <v>5</v>
      </c>
      <c r="J61" s="32">
        <v>48</v>
      </c>
      <c r="K61" s="32">
        <v>0</v>
      </c>
      <c r="L61" s="33">
        <v>5700000</v>
      </c>
      <c r="M61" s="33">
        <v>310300</v>
      </c>
      <c r="N61" s="33">
        <v>3955</v>
      </c>
      <c r="O61" s="33">
        <v>112500</v>
      </c>
      <c r="P61" s="34">
        <f t="shared" si="0"/>
        <v>7.486929824561403E-2</v>
      </c>
      <c r="Q61" s="34">
        <f t="shared" si="1"/>
        <v>5.4438596491228071E-2</v>
      </c>
      <c r="R61" s="35" t="str">
        <f t="shared" si="2"/>
        <v/>
      </c>
      <c r="S61" s="32" t="str">
        <f>IF(AND(L61&gt;=INDEX(Succès!$D$10:$D$13,MATCH(A61,Succès!$A$10:$A$13,0)),P61&gt;=INDEX(Succès!$E$10:$E$13,MATCH(A61,Succès!$A$10:$A$13,0))),"Succès complet",IF(P61&gt;=INDEX(Succès!$E$10:$E$13,MATCH(A61,Succès!$A$10:$A$13,0)),"Engagé, portée modeste",IF(L61&gt;=INDEX(Succès!$D$10:$D$13,MATCH(A61,Succès!$A$10:$A$13,0)),"Portée sans engagement","Standard")))</f>
        <v>Standard</v>
      </c>
      <c r="T61" s="32">
        <f t="shared" si="3"/>
        <v>0</v>
      </c>
    </row>
    <row r="62" spans="1:20">
      <c r="A62" s="32" t="s">
        <v>25</v>
      </c>
      <c r="B62" s="32" t="s">
        <v>438</v>
      </c>
      <c r="C62" s="32" t="s">
        <v>149</v>
      </c>
      <c r="D62" s="32"/>
      <c r="E62" s="32" t="s">
        <v>116</v>
      </c>
      <c r="F62" s="32" t="s">
        <v>341</v>
      </c>
      <c r="G62" s="33"/>
      <c r="H62" s="32">
        <v>9</v>
      </c>
      <c r="I62" s="32">
        <v>0</v>
      </c>
      <c r="J62" s="32">
        <v>9</v>
      </c>
      <c r="K62" s="32">
        <v>0</v>
      </c>
      <c r="L62" s="33">
        <v>3100000</v>
      </c>
      <c r="M62" s="33">
        <v>316500</v>
      </c>
      <c r="N62" s="33">
        <v>5038</v>
      </c>
      <c r="O62" s="33">
        <v>896</v>
      </c>
      <c r="P62" s="34">
        <f t="shared" si="0"/>
        <v>0.10401096774193548</v>
      </c>
      <c r="Q62" s="34">
        <f t="shared" si="1"/>
        <v>0.10209677419354839</v>
      </c>
      <c r="R62" s="35" t="str">
        <f t="shared" si="2"/>
        <v/>
      </c>
      <c r="S62" s="32" t="str">
        <f>IF(AND(L62&gt;=INDEX(Succès!$D$10:$D$13,MATCH(A62,Succès!$A$10:$A$13,0)),P62&gt;=INDEX(Succès!$E$10:$E$13,MATCH(A62,Succès!$A$10:$A$13,0))),"Succès complet",IF(P62&gt;=INDEX(Succès!$E$10:$E$13,MATCH(A62,Succès!$A$10:$A$13,0)),"Engagé, portée modeste",IF(L62&gt;=INDEX(Succès!$D$10:$D$13,MATCH(A62,Succès!$A$10:$A$13,0)),"Portée sans engagement","Standard")))</f>
        <v>Standard</v>
      </c>
      <c r="T62" s="32">
        <f t="shared" si="3"/>
        <v>0</v>
      </c>
    </row>
    <row r="63" spans="1:20">
      <c r="A63" s="32" t="s">
        <v>25</v>
      </c>
      <c r="B63" s="32" t="s">
        <v>439</v>
      </c>
      <c r="C63" s="32" t="s">
        <v>440</v>
      </c>
      <c r="D63" s="32"/>
      <c r="E63" s="32" t="s">
        <v>131</v>
      </c>
      <c r="F63" s="32" t="s">
        <v>344</v>
      </c>
      <c r="G63" s="33"/>
      <c r="H63" s="32">
        <v>15</v>
      </c>
      <c r="I63" s="32">
        <v>7</v>
      </c>
      <c r="J63" s="32">
        <v>114</v>
      </c>
      <c r="K63" s="32">
        <v>1</v>
      </c>
      <c r="L63" s="33">
        <v>2300000</v>
      </c>
      <c r="M63" s="33">
        <v>227100</v>
      </c>
      <c r="N63" s="33">
        <v>9704</v>
      </c>
      <c r="O63" s="33">
        <v>23200</v>
      </c>
      <c r="P63" s="34">
        <f t="shared" si="0"/>
        <v>0.11304521739130435</v>
      </c>
      <c r="Q63" s="34">
        <f t="shared" si="1"/>
        <v>9.8739130434782607E-2</v>
      </c>
      <c r="R63" s="35" t="str">
        <f t="shared" si="2"/>
        <v/>
      </c>
      <c r="S63" s="32" t="str">
        <f>IF(AND(L63&gt;=INDEX(Succès!$D$10:$D$13,MATCH(A63,Succès!$A$10:$A$13,0)),P63&gt;=INDEX(Succès!$E$10:$E$13,MATCH(A63,Succès!$A$10:$A$13,0))),"Succès complet",IF(P63&gt;=INDEX(Succès!$E$10:$E$13,MATCH(A63,Succès!$A$10:$A$13,0)),"Engagé, portée modeste",IF(L63&gt;=INDEX(Succès!$D$10:$D$13,MATCH(A63,Succès!$A$10:$A$13,0)),"Portée sans engagement","Standard")))</f>
        <v>Engagé, portée modeste</v>
      </c>
      <c r="T63" s="32">
        <f t="shared" si="3"/>
        <v>0</v>
      </c>
    </row>
    <row r="64" spans="1:20">
      <c r="A64" s="32" t="s">
        <v>25</v>
      </c>
      <c r="B64" s="32" t="s">
        <v>441</v>
      </c>
      <c r="C64" s="32" t="s">
        <v>442</v>
      </c>
      <c r="D64" s="32"/>
      <c r="E64" s="32" t="s">
        <v>120</v>
      </c>
      <c r="F64" s="32" t="s">
        <v>344</v>
      </c>
      <c r="G64" s="33"/>
      <c r="H64" s="32">
        <v>29</v>
      </c>
      <c r="I64" s="32">
        <v>8</v>
      </c>
      <c r="J64" s="32">
        <v>140</v>
      </c>
      <c r="K64" s="32">
        <v>1</v>
      </c>
      <c r="L64" s="33">
        <v>3700000</v>
      </c>
      <c r="M64" s="33">
        <v>531700</v>
      </c>
      <c r="N64" s="33">
        <v>8147</v>
      </c>
      <c r="O64" s="33">
        <v>73800</v>
      </c>
      <c r="P64" s="34">
        <f t="shared" si="0"/>
        <v>0.16585054054054055</v>
      </c>
      <c r="Q64" s="34">
        <f t="shared" si="1"/>
        <v>0.14370270270270269</v>
      </c>
      <c r="R64" s="35" t="str">
        <f t="shared" si="2"/>
        <v/>
      </c>
      <c r="S64" s="32" t="str">
        <f>IF(AND(L64&gt;=INDEX(Succès!$D$10:$D$13,MATCH(A64,Succès!$A$10:$A$13,0)),P64&gt;=INDEX(Succès!$E$10:$E$13,MATCH(A64,Succès!$A$10:$A$13,0))),"Succès complet",IF(P64&gt;=INDEX(Succès!$E$10:$E$13,MATCH(A64,Succès!$A$10:$A$13,0)),"Engagé, portée modeste",IF(L64&gt;=INDEX(Succès!$D$10:$D$13,MATCH(A64,Succès!$A$10:$A$13,0)),"Portée sans engagement","Standard")))</f>
        <v>Engagé, portée modeste</v>
      </c>
      <c r="T64" s="32">
        <f t="shared" si="3"/>
        <v>0</v>
      </c>
    </row>
    <row r="65" spans="1:20">
      <c r="A65" s="32" t="s">
        <v>25</v>
      </c>
      <c r="B65" s="32" t="s">
        <v>443</v>
      </c>
      <c r="C65" s="32" t="s">
        <v>153</v>
      </c>
      <c r="D65" s="32"/>
      <c r="E65" s="32" t="s">
        <v>116</v>
      </c>
      <c r="F65" s="32" t="s">
        <v>344</v>
      </c>
      <c r="G65" s="33"/>
      <c r="H65" s="32">
        <v>25</v>
      </c>
      <c r="I65" s="32">
        <v>3</v>
      </c>
      <c r="J65" s="32">
        <v>107</v>
      </c>
      <c r="K65" s="32">
        <v>0</v>
      </c>
      <c r="L65" s="33">
        <v>84500000</v>
      </c>
      <c r="M65" s="33">
        <v>12000000</v>
      </c>
      <c r="N65" s="33">
        <v>118500</v>
      </c>
      <c r="O65" s="33">
        <v>63400</v>
      </c>
      <c r="P65" s="34">
        <f t="shared" si="0"/>
        <v>0.14416449704142012</v>
      </c>
      <c r="Q65" s="34">
        <f t="shared" si="1"/>
        <v>0.14201183431952663</v>
      </c>
      <c r="R65" s="35" t="str">
        <f t="shared" si="2"/>
        <v/>
      </c>
      <c r="S65" s="32" t="str">
        <f>IF(AND(L65&gt;=INDEX(Succès!$D$10:$D$13,MATCH(A65,Succès!$A$10:$A$13,0)),P65&gt;=INDEX(Succès!$E$10:$E$13,MATCH(A65,Succès!$A$10:$A$13,0))),"Succès complet",IF(P65&gt;=INDEX(Succès!$E$10:$E$13,MATCH(A65,Succès!$A$10:$A$13,0)),"Engagé, portée modeste",IF(L65&gt;=INDEX(Succès!$D$10:$D$13,MATCH(A65,Succès!$A$10:$A$13,0)),"Portée sans engagement","Standard")))</f>
        <v>Succès complet</v>
      </c>
      <c r="T65" s="32">
        <f t="shared" si="3"/>
        <v>1</v>
      </c>
    </row>
    <row r="66" spans="1:20">
      <c r="A66" s="32" t="s">
        <v>25</v>
      </c>
      <c r="B66" s="32" t="s">
        <v>444</v>
      </c>
      <c r="C66" s="32" t="s">
        <v>445</v>
      </c>
      <c r="D66" s="32"/>
      <c r="E66" s="32" t="s">
        <v>116</v>
      </c>
      <c r="F66" s="32" t="s">
        <v>344</v>
      </c>
      <c r="G66" s="33"/>
      <c r="H66" s="32">
        <v>14</v>
      </c>
      <c r="I66" s="32">
        <v>5</v>
      </c>
      <c r="J66" s="32">
        <v>101</v>
      </c>
      <c r="K66" s="32">
        <v>1</v>
      </c>
      <c r="L66" s="33">
        <v>8100000</v>
      </c>
      <c r="M66" s="33">
        <v>818300</v>
      </c>
      <c r="N66" s="33">
        <v>22600</v>
      </c>
      <c r="O66" s="33">
        <v>64000</v>
      </c>
      <c r="P66" s="34">
        <f t="shared" ref="P66:P129" si="4">(M66+N66+O66)/L66</f>
        <v>0.11171604938271605</v>
      </c>
      <c r="Q66" s="34">
        <f t="shared" ref="Q66:Q129" si="5">M66/L66</f>
        <v>0.10102469135802469</v>
      </c>
      <c r="R66" s="35" t="str">
        <f t="shared" ref="R66:R129" si="6">IF(G66="","",L66/G66)</f>
        <v/>
      </c>
      <c r="S66" s="32" t="str">
        <f>IF(AND(L66&gt;=INDEX(Succès!$D$10:$D$13,MATCH(A66,Succès!$A$10:$A$13,0)),P66&gt;=INDEX(Succès!$E$10:$E$13,MATCH(A66,Succès!$A$10:$A$13,0))),"Succès complet",IF(P66&gt;=INDEX(Succès!$E$10:$E$13,MATCH(A66,Succès!$A$10:$A$13,0)),"Engagé, portée modeste",IF(L66&gt;=INDEX(Succès!$D$10:$D$13,MATCH(A66,Succès!$A$10:$A$13,0)),"Portée sans engagement","Standard")))</f>
        <v>Engagé, portée modeste</v>
      </c>
      <c r="T66" s="32">
        <f t="shared" ref="T66:T129" si="7">IF(S66="Succès complet",1,0)</f>
        <v>0</v>
      </c>
    </row>
    <row r="67" spans="1:20">
      <c r="A67" s="32" t="s">
        <v>25</v>
      </c>
      <c r="B67" s="32" t="s">
        <v>446</v>
      </c>
      <c r="C67" s="32" t="s">
        <v>447</v>
      </c>
      <c r="D67" s="32"/>
      <c r="E67" s="32" t="s">
        <v>135</v>
      </c>
      <c r="F67" s="32" t="s">
        <v>344</v>
      </c>
      <c r="G67" s="33"/>
      <c r="H67" s="32">
        <v>12</v>
      </c>
      <c r="I67" s="32">
        <v>2</v>
      </c>
      <c r="J67" s="32">
        <v>57</v>
      </c>
      <c r="K67" s="32">
        <v>0</v>
      </c>
      <c r="L67" s="33">
        <v>38200000</v>
      </c>
      <c r="M67" s="33">
        <v>5800000</v>
      </c>
      <c r="N67" s="33">
        <v>83500</v>
      </c>
      <c r="O67" s="33">
        <v>74900</v>
      </c>
      <c r="P67" s="34">
        <f t="shared" si="4"/>
        <v>0.15597905759162303</v>
      </c>
      <c r="Q67" s="34">
        <f t="shared" si="5"/>
        <v>0.15183246073298429</v>
      </c>
      <c r="R67" s="35" t="str">
        <f t="shared" si="6"/>
        <v/>
      </c>
      <c r="S67" s="32" t="str">
        <f>IF(AND(L67&gt;=INDEX(Succès!$D$10:$D$13,MATCH(A67,Succès!$A$10:$A$13,0)),P67&gt;=INDEX(Succès!$E$10:$E$13,MATCH(A67,Succès!$A$10:$A$13,0))),"Succès complet",IF(P67&gt;=INDEX(Succès!$E$10:$E$13,MATCH(A67,Succès!$A$10:$A$13,0)),"Engagé, portée modeste",IF(L67&gt;=INDEX(Succès!$D$10:$D$13,MATCH(A67,Succès!$A$10:$A$13,0)),"Portée sans engagement","Standard")))</f>
        <v>Succès complet</v>
      </c>
      <c r="T67" s="32">
        <f t="shared" si="7"/>
        <v>1</v>
      </c>
    </row>
    <row r="68" spans="1:20">
      <c r="A68" s="32" t="s">
        <v>25</v>
      </c>
      <c r="B68" s="32" t="s">
        <v>448</v>
      </c>
      <c r="C68" s="32" t="s">
        <v>150</v>
      </c>
      <c r="D68" s="32"/>
      <c r="E68" s="32" t="s">
        <v>116</v>
      </c>
      <c r="F68" s="32" t="s">
        <v>344</v>
      </c>
      <c r="G68" s="33"/>
      <c r="H68" s="32">
        <v>13</v>
      </c>
      <c r="I68" s="32">
        <v>5</v>
      </c>
      <c r="J68" s="32">
        <v>58</v>
      </c>
      <c r="K68" s="32">
        <v>0</v>
      </c>
      <c r="L68" s="33">
        <v>106000000</v>
      </c>
      <c r="M68" s="33">
        <v>15200000</v>
      </c>
      <c r="N68" s="33">
        <v>114800</v>
      </c>
      <c r="O68" s="33">
        <v>325300</v>
      </c>
      <c r="P68" s="34">
        <f t="shared" si="4"/>
        <v>0.14754811320754718</v>
      </c>
      <c r="Q68" s="34">
        <f t="shared" si="5"/>
        <v>0.14339622641509434</v>
      </c>
      <c r="R68" s="35" t="str">
        <f t="shared" si="6"/>
        <v/>
      </c>
      <c r="S68" s="32" t="str">
        <f>IF(AND(L68&gt;=INDEX(Succès!$D$10:$D$13,MATCH(A68,Succès!$A$10:$A$13,0)),P68&gt;=INDEX(Succès!$E$10:$E$13,MATCH(A68,Succès!$A$10:$A$13,0))),"Succès complet",IF(P68&gt;=INDEX(Succès!$E$10:$E$13,MATCH(A68,Succès!$A$10:$A$13,0)),"Engagé, portée modeste",IF(L68&gt;=INDEX(Succès!$D$10:$D$13,MATCH(A68,Succès!$A$10:$A$13,0)),"Portée sans engagement","Standard")))</f>
        <v>Succès complet</v>
      </c>
      <c r="T68" s="32">
        <f t="shared" si="7"/>
        <v>1</v>
      </c>
    </row>
    <row r="69" spans="1:20">
      <c r="A69" s="32" t="s">
        <v>25</v>
      </c>
      <c r="B69" s="32" t="s">
        <v>449</v>
      </c>
      <c r="C69" s="32" t="s">
        <v>450</v>
      </c>
      <c r="D69" s="32"/>
      <c r="E69" s="32" t="s">
        <v>124</v>
      </c>
      <c r="F69" s="32" t="s">
        <v>344</v>
      </c>
      <c r="G69" s="33"/>
      <c r="H69" s="32">
        <v>8</v>
      </c>
      <c r="I69" s="32">
        <v>4</v>
      </c>
      <c r="J69" s="32">
        <v>46</v>
      </c>
      <c r="K69" s="32">
        <v>1</v>
      </c>
      <c r="L69" s="33">
        <v>3000000</v>
      </c>
      <c r="M69" s="33">
        <v>217700</v>
      </c>
      <c r="N69" s="33">
        <v>6076</v>
      </c>
      <c r="O69" s="33">
        <v>26200</v>
      </c>
      <c r="P69" s="34">
        <f t="shared" si="4"/>
        <v>8.3325333333333335E-2</v>
      </c>
      <c r="Q69" s="34">
        <f t="shared" si="5"/>
        <v>7.2566666666666668E-2</v>
      </c>
      <c r="R69" s="35" t="str">
        <f t="shared" si="6"/>
        <v/>
      </c>
      <c r="S69" s="32" t="str">
        <f>IF(AND(L69&gt;=INDEX(Succès!$D$10:$D$13,MATCH(A69,Succès!$A$10:$A$13,0)),P69&gt;=INDEX(Succès!$E$10:$E$13,MATCH(A69,Succès!$A$10:$A$13,0))),"Succès complet",IF(P69&gt;=INDEX(Succès!$E$10:$E$13,MATCH(A69,Succès!$A$10:$A$13,0)),"Engagé, portée modeste",IF(L69&gt;=INDEX(Succès!$D$10:$D$13,MATCH(A69,Succès!$A$10:$A$13,0)),"Portée sans engagement","Standard")))</f>
        <v>Standard</v>
      </c>
      <c r="T69" s="32">
        <f t="shared" si="7"/>
        <v>0</v>
      </c>
    </row>
    <row r="70" spans="1:20">
      <c r="A70" s="32" t="s">
        <v>25</v>
      </c>
      <c r="B70" s="32" t="s">
        <v>451</v>
      </c>
      <c r="C70" s="32" t="s">
        <v>452</v>
      </c>
      <c r="D70" s="32"/>
      <c r="E70" s="32" t="s">
        <v>116</v>
      </c>
      <c r="F70" s="32" t="s">
        <v>346</v>
      </c>
      <c r="G70" s="33"/>
      <c r="H70" s="32">
        <v>10</v>
      </c>
      <c r="I70" s="32">
        <v>3</v>
      </c>
      <c r="J70" s="32">
        <v>59</v>
      </c>
      <c r="K70" s="32">
        <v>1</v>
      </c>
      <c r="L70" s="33">
        <v>26000000</v>
      </c>
      <c r="M70" s="33">
        <v>3000000</v>
      </c>
      <c r="N70" s="33">
        <v>31200</v>
      </c>
      <c r="O70" s="33">
        <v>286900</v>
      </c>
      <c r="P70" s="34">
        <f t="shared" si="4"/>
        <v>0.12761923076923076</v>
      </c>
      <c r="Q70" s="34">
        <f t="shared" si="5"/>
        <v>0.11538461538461539</v>
      </c>
      <c r="R70" s="35" t="str">
        <f t="shared" si="6"/>
        <v/>
      </c>
      <c r="S70" s="32" t="str">
        <f>IF(AND(L70&gt;=INDEX(Succès!$D$10:$D$13,MATCH(A70,Succès!$A$10:$A$13,0)),P70&gt;=INDEX(Succès!$E$10:$E$13,MATCH(A70,Succès!$A$10:$A$13,0))),"Succès complet",IF(P70&gt;=INDEX(Succès!$E$10:$E$13,MATCH(A70,Succès!$A$10:$A$13,0)),"Engagé, portée modeste",IF(L70&gt;=INDEX(Succès!$D$10:$D$13,MATCH(A70,Succès!$A$10:$A$13,0)),"Portée sans engagement","Standard")))</f>
        <v>Succès complet</v>
      </c>
      <c r="T70" s="32">
        <f t="shared" si="7"/>
        <v>1</v>
      </c>
    </row>
    <row r="71" spans="1:20">
      <c r="A71" s="32" t="s">
        <v>25</v>
      </c>
      <c r="B71" s="32" t="s">
        <v>453</v>
      </c>
      <c r="C71" s="32" t="s">
        <v>180</v>
      </c>
      <c r="D71" s="32"/>
      <c r="E71" s="32" t="s">
        <v>135</v>
      </c>
      <c r="F71" s="32" t="s">
        <v>346</v>
      </c>
      <c r="G71" s="33"/>
      <c r="H71" s="32">
        <v>13</v>
      </c>
      <c r="I71" s="32">
        <v>0</v>
      </c>
      <c r="J71" s="32">
        <v>0</v>
      </c>
      <c r="K71" s="32">
        <v>0</v>
      </c>
      <c r="L71" s="33">
        <v>1000000</v>
      </c>
      <c r="M71" s="33">
        <v>40000</v>
      </c>
      <c r="N71" s="33">
        <v>341</v>
      </c>
      <c r="O71" s="33">
        <v>323</v>
      </c>
      <c r="P71" s="34">
        <f t="shared" si="4"/>
        <v>4.0663999999999999E-2</v>
      </c>
      <c r="Q71" s="34">
        <f t="shared" si="5"/>
        <v>0.04</v>
      </c>
      <c r="R71" s="35" t="str">
        <f t="shared" si="6"/>
        <v/>
      </c>
      <c r="S71" s="32" t="str">
        <f>IF(AND(L71&gt;=INDEX(Succès!$D$10:$D$13,MATCH(A71,Succès!$A$10:$A$13,0)),P71&gt;=INDEX(Succès!$E$10:$E$13,MATCH(A71,Succès!$A$10:$A$13,0))),"Succès complet",IF(P71&gt;=INDEX(Succès!$E$10:$E$13,MATCH(A71,Succès!$A$10:$A$13,0)),"Engagé, portée modeste",IF(L71&gt;=INDEX(Succès!$D$10:$D$13,MATCH(A71,Succès!$A$10:$A$13,0)),"Portée sans engagement","Standard")))</f>
        <v>Standard</v>
      </c>
      <c r="T71" s="32">
        <f t="shared" si="7"/>
        <v>0</v>
      </c>
    </row>
    <row r="72" spans="1:20">
      <c r="A72" s="32" t="s">
        <v>25</v>
      </c>
      <c r="B72" s="32" t="s">
        <v>454</v>
      </c>
      <c r="C72" s="32" t="s">
        <v>455</v>
      </c>
      <c r="D72" s="32"/>
      <c r="E72" s="32" t="s">
        <v>120</v>
      </c>
      <c r="F72" s="32" t="s">
        <v>344</v>
      </c>
      <c r="G72" s="33"/>
      <c r="H72" s="32">
        <v>13</v>
      </c>
      <c r="I72" s="32">
        <v>5</v>
      </c>
      <c r="J72" s="32">
        <v>42</v>
      </c>
      <c r="K72" s="32">
        <v>1</v>
      </c>
      <c r="L72" s="33">
        <v>3100000</v>
      </c>
      <c r="M72" s="33">
        <v>547100</v>
      </c>
      <c r="N72" s="33">
        <v>8800</v>
      </c>
      <c r="O72" s="33">
        <v>22200</v>
      </c>
      <c r="P72" s="34">
        <f t="shared" si="4"/>
        <v>0.18648387096774194</v>
      </c>
      <c r="Q72" s="34">
        <f t="shared" si="5"/>
        <v>0.17648387096774193</v>
      </c>
      <c r="R72" s="35" t="str">
        <f t="shared" si="6"/>
        <v/>
      </c>
      <c r="S72" s="32" t="str">
        <f>IF(AND(L72&gt;=INDEX(Succès!$D$10:$D$13,MATCH(A72,Succès!$A$10:$A$13,0)),P72&gt;=INDEX(Succès!$E$10:$E$13,MATCH(A72,Succès!$A$10:$A$13,0))),"Succès complet",IF(P72&gt;=INDEX(Succès!$E$10:$E$13,MATCH(A72,Succès!$A$10:$A$13,0)),"Engagé, portée modeste",IF(L72&gt;=INDEX(Succès!$D$10:$D$13,MATCH(A72,Succès!$A$10:$A$13,0)),"Portée sans engagement","Standard")))</f>
        <v>Engagé, portée modeste</v>
      </c>
      <c r="T72" s="32">
        <f t="shared" si="7"/>
        <v>0</v>
      </c>
    </row>
    <row r="73" spans="1:20">
      <c r="A73" s="32" t="s">
        <v>25</v>
      </c>
      <c r="B73" s="32" t="s">
        <v>456</v>
      </c>
      <c r="C73" s="32" t="s">
        <v>457</v>
      </c>
      <c r="D73" s="32"/>
      <c r="E73" s="32" t="s">
        <v>116</v>
      </c>
      <c r="F73" s="32" t="s">
        <v>344</v>
      </c>
      <c r="G73" s="33"/>
      <c r="H73" s="32">
        <v>9</v>
      </c>
      <c r="I73" s="32">
        <v>6</v>
      </c>
      <c r="J73" s="32">
        <v>131</v>
      </c>
      <c r="K73" s="32">
        <v>1</v>
      </c>
      <c r="L73" s="33">
        <v>25200000</v>
      </c>
      <c r="M73" s="33">
        <v>1600000</v>
      </c>
      <c r="N73" s="33">
        <v>11400</v>
      </c>
      <c r="O73" s="33">
        <v>18300</v>
      </c>
      <c r="P73" s="34">
        <f t="shared" si="4"/>
        <v>6.467063492063492E-2</v>
      </c>
      <c r="Q73" s="34">
        <f t="shared" si="5"/>
        <v>6.3492063492063489E-2</v>
      </c>
      <c r="R73" s="35" t="str">
        <f t="shared" si="6"/>
        <v/>
      </c>
      <c r="S73" s="32" t="str">
        <f>IF(AND(L73&gt;=INDEX(Succès!$D$10:$D$13,MATCH(A73,Succès!$A$10:$A$13,0)),P73&gt;=INDEX(Succès!$E$10:$E$13,MATCH(A73,Succès!$A$10:$A$13,0))),"Succès complet",IF(P73&gt;=INDEX(Succès!$E$10:$E$13,MATCH(A73,Succès!$A$10:$A$13,0)),"Engagé, portée modeste",IF(L73&gt;=INDEX(Succès!$D$10:$D$13,MATCH(A73,Succès!$A$10:$A$13,0)),"Portée sans engagement","Standard")))</f>
        <v>Portée sans engagement</v>
      </c>
      <c r="T73" s="32">
        <f t="shared" si="7"/>
        <v>0</v>
      </c>
    </row>
    <row r="74" spans="1:20">
      <c r="A74" s="32" t="s">
        <v>25</v>
      </c>
      <c r="B74" s="32" t="s">
        <v>458</v>
      </c>
      <c r="C74" s="32" t="s">
        <v>459</v>
      </c>
      <c r="D74" s="32"/>
      <c r="E74" s="32" t="s">
        <v>120</v>
      </c>
      <c r="F74" s="32" t="s">
        <v>344</v>
      </c>
      <c r="G74" s="33"/>
      <c r="H74" s="32">
        <v>11</v>
      </c>
      <c r="I74" s="32">
        <v>3</v>
      </c>
      <c r="J74" s="32">
        <v>20</v>
      </c>
      <c r="K74" s="32">
        <v>1</v>
      </c>
      <c r="L74" s="33">
        <v>1300000</v>
      </c>
      <c r="M74" s="33">
        <v>95000</v>
      </c>
      <c r="N74" s="33">
        <v>1134</v>
      </c>
      <c r="O74" s="33">
        <v>3150</v>
      </c>
      <c r="P74" s="34">
        <f t="shared" si="4"/>
        <v>7.6372307692307698E-2</v>
      </c>
      <c r="Q74" s="34">
        <f t="shared" si="5"/>
        <v>7.3076923076923081E-2</v>
      </c>
      <c r="R74" s="35" t="str">
        <f t="shared" si="6"/>
        <v/>
      </c>
      <c r="S74" s="32" t="str">
        <f>IF(AND(L74&gt;=INDEX(Succès!$D$10:$D$13,MATCH(A74,Succès!$A$10:$A$13,0)),P74&gt;=INDEX(Succès!$E$10:$E$13,MATCH(A74,Succès!$A$10:$A$13,0))),"Succès complet",IF(P74&gt;=INDEX(Succès!$E$10:$E$13,MATCH(A74,Succès!$A$10:$A$13,0)),"Engagé, portée modeste",IF(L74&gt;=INDEX(Succès!$D$10:$D$13,MATCH(A74,Succès!$A$10:$A$13,0)),"Portée sans engagement","Standard")))</f>
        <v>Standard</v>
      </c>
      <c r="T74" s="32">
        <f t="shared" si="7"/>
        <v>0</v>
      </c>
    </row>
    <row r="75" spans="1:20">
      <c r="A75" s="32" t="s">
        <v>25</v>
      </c>
      <c r="B75" s="32" t="s">
        <v>460</v>
      </c>
      <c r="C75" s="32" t="s">
        <v>461</v>
      </c>
      <c r="D75" s="32"/>
      <c r="E75" s="32" t="s">
        <v>135</v>
      </c>
      <c r="F75" s="32" t="s">
        <v>344</v>
      </c>
      <c r="G75" s="33"/>
      <c r="H75" s="32">
        <v>11</v>
      </c>
      <c r="I75" s="32">
        <v>0</v>
      </c>
      <c r="J75" s="32">
        <v>0</v>
      </c>
      <c r="K75" s="32">
        <v>0</v>
      </c>
      <c r="L75" s="33">
        <v>32600000</v>
      </c>
      <c r="M75" s="33">
        <v>3000000</v>
      </c>
      <c r="N75" s="33">
        <v>28000</v>
      </c>
      <c r="O75" s="33">
        <v>247000</v>
      </c>
      <c r="P75" s="34">
        <f t="shared" si="4"/>
        <v>0.10046012269938651</v>
      </c>
      <c r="Q75" s="34">
        <f t="shared" si="5"/>
        <v>9.202453987730061E-2</v>
      </c>
      <c r="R75" s="35" t="str">
        <f t="shared" si="6"/>
        <v/>
      </c>
      <c r="S75" s="32" t="str">
        <f>IF(AND(L75&gt;=INDEX(Succès!$D$10:$D$13,MATCH(A75,Succès!$A$10:$A$13,0)),P75&gt;=INDEX(Succès!$E$10:$E$13,MATCH(A75,Succès!$A$10:$A$13,0))),"Succès complet",IF(P75&gt;=INDEX(Succès!$E$10:$E$13,MATCH(A75,Succès!$A$10:$A$13,0)),"Engagé, portée modeste",IF(L75&gt;=INDEX(Succès!$D$10:$D$13,MATCH(A75,Succès!$A$10:$A$13,0)),"Portée sans engagement","Standard")))</f>
        <v>Portée sans engagement</v>
      </c>
      <c r="T75" s="32">
        <f t="shared" si="7"/>
        <v>0</v>
      </c>
    </row>
    <row r="76" spans="1:20">
      <c r="A76" s="32" t="s">
        <v>25</v>
      </c>
      <c r="B76" s="32" t="s">
        <v>462</v>
      </c>
      <c r="C76" s="32" t="s">
        <v>171</v>
      </c>
      <c r="D76" s="32" t="s">
        <v>172</v>
      </c>
      <c r="E76" s="32" t="s">
        <v>128</v>
      </c>
      <c r="F76" s="32" t="s">
        <v>344</v>
      </c>
      <c r="G76" s="33"/>
      <c r="H76" s="32">
        <v>14</v>
      </c>
      <c r="I76" s="32">
        <v>0</v>
      </c>
      <c r="J76" s="32">
        <v>30</v>
      </c>
      <c r="K76" s="32">
        <v>0</v>
      </c>
      <c r="L76" s="33">
        <v>24900000</v>
      </c>
      <c r="M76" s="33">
        <v>4000000</v>
      </c>
      <c r="N76" s="33">
        <v>18200</v>
      </c>
      <c r="O76" s="33">
        <v>12300</v>
      </c>
      <c r="P76" s="34">
        <f t="shared" si="4"/>
        <v>0.16186746987951808</v>
      </c>
      <c r="Q76" s="34">
        <f t="shared" si="5"/>
        <v>0.1606425702811245</v>
      </c>
      <c r="R76" s="35" t="str">
        <f t="shared" si="6"/>
        <v/>
      </c>
      <c r="S76" s="32" t="str">
        <f>IF(AND(L76&gt;=INDEX(Succès!$D$10:$D$13,MATCH(A76,Succès!$A$10:$A$13,0)),P76&gt;=INDEX(Succès!$E$10:$E$13,MATCH(A76,Succès!$A$10:$A$13,0))),"Succès complet",IF(P76&gt;=INDEX(Succès!$E$10:$E$13,MATCH(A76,Succès!$A$10:$A$13,0)),"Engagé, portée modeste",IF(L76&gt;=INDEX(Succès!$D$10:$D$13,MATCH(A76,Succès!$A$10:$A$13,0)),"Portée sans engagement","Standard")))</f>
        <v>Succès complet</v>
      </c>
      <c r="T76" s="32">
        <f t="shared" si="7"/>
        <v>1</v>
      </c>
    </row>
    <row r="77" spans="1:20">
      <c r="A77" s="32" t="s">
        <v>25</v>
      </c>
      <c r="B77" s="32" t="s">
        <v>463</v>
      </c>
      <c r="C77" s="32" t="s">
        <v>180</v>
      </c>
      <c r="D77" s="32"/>
      <c r="E77" s="32" t="s">
        <v>135</v>
      </c>
      <c r="F77" s="32" t="s">
        <v>346</v>
      </c>
      <c r="G77" s="33"/>
      <c r="H77" s="32">
        <v>10</v>
      </c>
      <c r="I77" s="32">
        <v>0</v>
      </c>
      <c r="J77" s="32">
        <v>24</v>
      </c>
      <c r="K77" s="32">
        <v>0</v>
      </c>
      <c r="L77" s="33">
        <v>14400000</v>
      </c>
      <c r="M77" s="33">
        <v>928700</v>
      </c>
      <c r="N77" s="33">
        <v>3614</v>
      </c>
      <c r="O77" s="33">
        <v>4936</v>
      </c>
      <c r="P77" s="34">
        <f t="shared" si="4"/>
        <v>6.5086805555555557E-2</v>
      </c>
      <c r="Q77" s="34">
        <f t="shared" si="5"/>
        <v>6.4493055555555553E-2</v>
      </c>
      <c r="R77" s="35" t="str">
        <f t="shared" si="6"/>
        <v/>
      </c>
      <c r="S77" s="32" t="str">
        <f>IF(AND(L77&gt;=INDEX(Succès!$D$10:$D$13,MATCH(A77,Succès!$A$10:$A$13,0)),P77&gt;=INDEX(Succès!$E$10:$E$13,MATCH(A77,Succès!$A$10:$A$13,0))),"Succès complet",IF(P77&gt;=INDEX(Succès!$E$10:$E$13,MATCH(A77,Succès!$A$10:$A$13,0)),"Engagé, portée modeste",IF(L77&gt;=INDEX(Succès!$D$10:$D$13,MATCH(A77,Succès!$A$10:$A$13,0)),"Portée sans engagement","Standard")))</f>
        <v>Portée sans engagement</v>
      </c>
      <c r="T77" s="32">
        <f t="shared" si="7"/>
        <v>0</v>
      </c>
    </row>
    <row r="78" spans="1:20">
      <c r="A78" s="32" t="s">
        <v>25</v>
      </c>
      <c r="B78" s="32" t="s">
        <v>464</v>
      </c>
      <c r="C78" s="32" t="s">
        <v>465</v>
      </c>
      <c r="D78" s="32"/>
      <c r="E78" s="32" t="s">
        <v>135</v>
      </c>
      <c r="F78" s="32" t="s">
        <v>341</v>
      </c>
      <c r="G78" s="33"/>
      <c r="H78" s="32">
        <v>7</v>
      </c>
      <c r="I78" s="32">
        <v>0</v>
      </c>
      <c r="J78" s="32">
        <v>0</v>
      </c>
      <c r="K78" s="32">
        <v>0</v>
      </c>
      <c r="L78" s="33">
        <v>18900000</v>
      </c>
      <c r="M78" s="33">
        <v>2600000</v>
      </c>
      <c r="N78" s="33">
        <v>20000</v>
      </c>
      <c r="O78" s="33">
        <v>25700</v>
      </c>
      <c r="P78" s="34">
        <f t="shared" si="4"/>
        <v>0.13998412698412699</v>
      </c>
      <c r="Q78" s="34">
        <f t="shared" si="5"/>
        <v>0.13756613756613756</v>
      </c>
      <c r="R78" s="35" t="str">
        <f t="shared" si="6"/>
        <v/>
      </c>
      <c r="S78" s="32" t="str">
        <f>IF(AND(L78&gt;=INDEX(Succès!$D$10:$D$13,MATCH(A78,Succès!$A$10:$A$13,0)),P78&gt;=INDEX(Succès!$E$10:$E$13,MATCH(A78,Succès!$A$10:$A$13,0))),"Succès complet",IF(P78&gt;=INDEX(Succès!$E$10:$E$13,MATCH(A78,Succès!$A$10:$A$13,0)),"Engagé, portée modeste",IF(L78&gt;=INDEX(Succès!$D$10:$D$13,MATCH(A78,Succès!$A$10:$A$13,0)),"Portée sans engagement","Standard")))</f>
        <v>Succès complet</v>
      </c>
      <c r="T78" s="32">
        <f t="shared" si="7"/>
        <v>1</v>
      </c>
    </row>
    <row r="79" spans="1:20">
      <c r="A79" s="32" t="s">
        <v>25</v>
      </c>
      <c r="B79" s="32" t="s">
        <v>466</v>
      </c>
      <c r="C79" s="32" t="s">
        <v>180</v>
      </c>
      <c r="D79" s="32"/>
      <c r="E79" s="32" t="s">
        <v>135</v>
      </c>
      <c r="F79" s="32" t="s">
        <v>346</v>
      </c>
      <c r="G79" s="33"/>
      <c r="H79" s="32">
        <v>11</v>
      </c>
      <c r="I79" s="32">
        <v>0</v>
      </c>
      <c r="J79" s="32">
        <v>1</v>
      </c>
      <c r="K79" s="32">
        <v>0</v>
      </c>
      <c r="L79" s="33">
        <v>919800</v>
      </c>
      <c r="M79" s="33">
        <v>115500</v>
      </c>
      <c r="N79" s="33">
        <v>1136</v>
      </c>
      <c r="O79" s="33">
        <v>249</v>
      </c>
      <c r="P79" s="34">
        <f t="shared" si="4"/>
        <v>0.12707653837790825</v>
      </c>
      <c r="Q79" s="34">
        <f t="shared" si="5"/>
        <v>0.12557077625570776</v>
      </c>
      <c r="R79" s="35" t="str">
        <f t="shared" si="6"/>
        <v/>
      </c>
      <c r="S79" s="32" t="str">
        <f>IF(AND(L79&gt;=INDEX(Succès!$D$10:$D$13,MATCH(A79,Succès!$A$10:$A$13,0)),P79&gt;=INDEX(Succès!$E$10:$E$13,MATCH(A79,Succès!$A$10:$A$13,0))),"Succès complet",IF(P79&gt;=INDEX(Succès!$E$10:$E$13,MATCH(A79,Succès!$A$10:$A$13,0)),"Engagé, portée modeste",IF(L79&gt;=INDEX(Succès!$D$10:$D$13,MATCH(A79,Succès!$A$10:$A$13,0)),"Portée sans engagement","Standard")))</f>
        <v>Engagé, portée modeste</v>
      </c>
      <c r="T79" s="32">
        <f t="shared" si="7"/>
        <v>0</v>
      </c>
    </row>
    <row r="80" spans="1:20">
      <c r="A80" s="32" t="s">
        <v>25</v>
      </c>
      <c r="B80" s="32" t="s">
        <v>467</v>
      </c>
      <c r="C80" s="32" t="s">
        <v>468</v>
      </c>
      <c r="D80" s="32"/>
      <c r="E80" s="32" t="s">
        <v>135</v>
      </c>
      <c r="F80" s="32" t="s">
        <v>344</v>
      </c>
      <c r="G80" s="33"/>
      <c r="H80" s="32">
        <v>13</v>
      </c>
      <c r="I80" s="32">
        <v>8</v>
      </c>
      <c r="J80" s="32">
        <v>132</v>
      </c>
      <c r="K80" s="32">
        <v>1</v>
      </c>
      <c r="L80" s="33">
        <v>5500000</v>
      </c>
      <c r="M80" s="33">
        <v>283100</v>
      </c>
      <c r="N80" s="33">
        <v>6966</v>
      </c>
      <c r="O80" s="33">
        <v>7464</v>
      </c>
      <c r="P80" s="34">
        <f t="shared" si="4"/>
        <v>5.4096363636363637E-2</v>
      </c>
      <c r="Q80" s="34">
        <f t="shared" si="5"/>
        <v>5.1472727272727274E-2</v>
      </c>
      <c r="R80" s="35" t="str">
        <f t="shared" si="6"/>
        <v/>
      </c>
      <c r="S80" s="32" t="str">
        <f>IF(AND(L80&gt;=INDEX(Succès!$D$10:$D$13,MATCH(A80,Succès!$A$10:$A$13,0)),P80&gt;=INDEX(Succès!$E$10:$E$13,MATCH(A80,Succès!$A$10:$A$13,0))),"Succès complet",IF(P80&gt;=INDEX(Succès!$E$10:$E$13,MATCH(A80,Succès!$A$10:$A$13,0)),"Engagé, portée modeste",IF(L80&gt;=INDEX(Succès!$D$10:$D$13,MATCH(A80,Succès!$A$10:$A$13,0)),"Portée sans engagement","Standard")))</f>
        <v>Standard</v>
      </c>
      <c r="T80" s="32">
        <f t="shared" si="7"/>
        <v>0</v>
      </c>
    </row>
    <row r="81" spans="1:20">
      <c r="A81" s="32" t="s">
        <v>25</v>
      </c>
      <c r="B81" s="32" t="s">
        <v>469</v>
      </c>
      <c r="C81" s="32" t="s">
        <v>470</v>
      </c>
      <c r="D81" s="32"/>
      <c r="E81" s="32" t="s">
        <v>128</v>
      </c>
      <c r="F81" s="32" t="s">
        <v>344</v>
      </c>
      <c r="G81" s="33"/>
      <c r="H81" s="32">
        <v>43</v>
      </c>
      <c r="I81" s="32">
        <v>3</v>
      </c>
      <c r="J81" s="32">
        <v>57</v>
      </c>
      <c r="K81" s="32">
        <v>1</v>
      </c>
      <c r="L81" s="33">
        <v>4800000</v>
      </c>
      <c r="M81" s="33">
        <v>769700</v>
      </c>
      <c r="N81" s="33">
        <v>1809</v>
      </c>
      <c r="O81" s="33">
        <v>3881</v>
      </c>
      <c r="P81" s="34">
        <f t="shared" si="4"/>
        <v>0.16153958333333332</v>
      </c>
      <c r="Q81" s="34">
        <f t="shared" si="5"/>
        <v>0.16035416666666666</v>
      </c>
      <c r="R81" s="35" t="str">
        <f t="shared" si="6"/>
        <v/>
      </c>
      <c r="S81" s="32" t="str">
        <f>IF(AND(L81&gt;=INDEX(Succès!$D$10:$D$13,MATCH(A81,Succès!$A$10:$A$13,0)),P81&gt;=INDEX(Succès!$E$10:$E$13,MATCH(A81,Succès!$A$10:$A$13,0))),"Succès complet",IF(P81&gt;=INDEX(Succès!$E$10:$E$13,MATCH(A81,Succès!$A$10:$A$13,0)),"Engagé, portée modeste",IF(L81&gt;=INDEX(Succès!$D$10:$D$13,MATCH(A81,Succès!$A$10:$A$13,0)),"Portée sans engagement","Standard")))</f>
        <v>Engagé, portée modeste</v>
      </c>
      <c r="T81" s="32">
        <f t="shared" si="7"/>
        <v>0</v>
      </c>
    </row>
    <row r="82" spans="1:20">
      <c r="A82" s="32" t="s">
        <v>25</v>
      </c>
      <c r="B82" s="32" t="s">
        <v>471</v>
      </c>
      <c r="C82" s="32" t="s">
        <v>180</v>
      </c>
      <c r="D82" s="32"/>
      <c r="E82" s="32" t="s">
        <v>135</v>
      </c>
      <c r="F82" s="32" t="s">
        <v>346</v>
      </c>
      <c r="G82" s="33"/>
      <c r="H82" s="32">
        <v>8</v>
      </c>
      <c r="I82" s="32">
        <v>0</v>
      </c>
      <c r="J82" s="32">
        <v>1</v>
      </c>
      <c r="K82" s="32">
        <v>0</v>
      </c>
      <c r="L82" s="33">
        <v>28700000</v>
      </c>
      <c r="M82" s="33">
        <v>2200000</v>
      </c>
      <c r="N82" s="33">
        <v>9354</v>
      </c>
      <c r="O82" s="33">
        <v>22000</v>
      </c>
      <c r="P82" s="34">
        <f t="shared" si="4"/>
        <v>7.7747526132404182E-2</v>
      </c>
      <c r="Q82" s="34">
        <f t="shared" si="5"/>
        <v>7.6655052264808357E-2</v>
      </c>
      <c r="R82" s="35" t="str">
        <f t="shared" si="6"/>
        <v/>
      </c>
      <c r="S82" s="32" t="str">
        <f>IF(AND(L82&gt;=INDEX(Succès!$D$10:$D$13,MATCH(A82,Succès!$A$10:$A$13,0)),P82&gt;=INDEX(Succès!$E$10:$E$13,MATCH(A82,Succès!$A$10:$A$13,0))),"Succès complet",IF(P82&gt;=INDEX(Succès!$E$10:$E$13,MATCH(A82,Succès!$A$10:$A$13,0)),"Engagé, portée modeste",IF(L82&gt;=INDEX(Succès!$D$10:$D$13,MATCH(A82,Succès!$A$10:$A$13,0)),"Portée sans engagement","Standard")))</f>
        <v>Portée sans engagement</v>
      </c>
      <c r="T82" s="32">
        <f t="shared" si="7"/>
        <v>0</v>
      </c>
    </row>
    <row r="83" spans="1:20">
      <c r="A83" s="32" t="s">
        <v>25</v>
      </c>
      <c r="B83" s="32" t="s">
        <v>472</v>
      </c>
      <c r="C83" s="32" t="s">
        <v>186</v>
      </c>
      <c r="D83" s="32" t="s">
        <v>187</v>
      </c>
      <c r="E83" s="32" t="s">
        <v>135</v>
      </c>
      <c r="F83" s="32" t="s">
        <v>346</v>
      </c>
      <c r="G83" s="33"/>
      <c r="H83" s="32">
        <v>13</v>
      </c>
      <c r="I83" s="32">
        <v>0</v>
      </c>
      <c r="J83" s="32">
        <v>0</v>
      </c>
      <c r="K83" s="32">
        <v>0</v>
      </c>
      <c r="L83" s="33">
        <v>50500000</v>
      </c>
      <c r="M83" s="33">
        <v>9900000</v>
      </c>
      <c r="N83" s="33">
        <v>73400</v>
      </c>
      <c r="O83" s="33">
        <v>52800</v>
      </c>
      <c r="P83" s="34">
        <f t="shared" si="4"/>
        <v>0.19853861386138613</v>
      </c>
      <c r="Q83" s="34">
        <f t="shared" si="5"/>
        <v>0.19603960396039605</v>
      </c>
      <c r="R83" s="35" t="str">
        <f t="shared" si="6"/>
        <v/>
      </c>
      <c r="S83" s="32" t="str">
        <f>IF(AND(L83&gt;=INDEX(Succès!$D$10:$D$13,MATCH(A83,Succès!$A$10:$A$13,0)),P83&gt;=INDEX(Succès!$E$10:$E$13,MATCH(A83,Succès!$A$10:$A$13,0))),"Succès complet",IF(P83&gt;=INDEX(Succès!$E$10:$E$13,MATCH(A83,Succès!$A$10:$A$13,0)),"Engagé, portée modeste",IF(L83&gt;=INDEX(Succès!$D$10:$D$13,MATCH(A83,Succès!$A$10:$A$13,0)),"Portée sans engagement","Standard")))</f>
        <v>Succès complet</v>
      </c>
      <c r="T83" s="32">
        <f t="shared" si="7"/>
        <v>1</v>
      </c>
    </row>
    <row r="84" spans="1:20">
      <c r="A84" s="32" t="s">
        <v>25</v>
      </c>
      <c r="B84" s="32" t="s">
        <v>473</v>
      </c>
      <c r="C84" s="32" t="s">
        <v>474</v>
      </c>
      <c r="D84" s="32"/>
      <c r="E84" s="32" t="s">
        <v>116</v>
      </c>
      <c r="F84" s="32" t="s">
        <v>344</v>
      </c>
      <c r="G84" s="33"/>
      <c r="H84" s="32">
        <v>13</v>
      </c>
      <c r="I84" s="32">
        <v>2</v>
      </c>
      <c r="J84" s="32">
        <v>34</v>
      </c>
      <c r="K84" s="32">
        <v>0</v>
      </c>
      <c r="L84" s="33">
        <v>3100000</v>
      </c>
      <c r="M84" s="33">
        <v>121800</v>
      </c>
      <c r="N84" s="33">
        <v>1662</v>
      </c>
      <c r="O84" s="33">
        <v>42300</v>
      </c>
      <c r="P84" s="34">
        <f t="shared" si="4"/>
        <v>5.3471612903225808E-2</v>
      </c>
      <c r="Q84" s="34">
        <f t="shared" si="5"/>
        <v>3.9290322580645159E-2</v>
      </c>
      <c r="R84" s="35" t="str">
        <f t="shared" si="6"/>
        <v/>
      </c>
      <c r="S84" s="32" t="str">
        <f>IF(AND(L84&gt;=INDEX(Succès!$D$10:$D$13,MATCH(A84,Succès!$A$10:$A$13,0)),P84&gt;=INDEX(Succès!$E$10:$E$13,MATCH(A84,Succès!$A$10:$A$13,0))),"Succès complet",IF(P84&gt;=INDEX(Succès!$E$10:$E$13,MATCH(A84,Succès!$A$10:$A$13,0)),"Engagé, portée modeste",IF(L84&gt;=INDEX(Succès!$D$10:$D$13,MATCH(A84,Succès!$A$10:$A$13,0)),"Portée sans engagement","Standard")))</f>
        <v>Standard</v>
      </c>
      <c r="T84" s="32">
        <f t="shared" si="7"/>
        <v>0</v>
      </c>
    </row>
    <row r="85" spans="1:20">
      <c r="A85" s="32" t="s">
        <v>25</v>
      </c>
      <c r="B85" s="32" t="s">
        <v>475</v>
      </c>
      <c r="C85" s="32" t="s">
        <v>178</v>
      </c>
      <c r="D85" s="32"/>
      <c r="E85" s="32" t="s">
        <v>135</v>
      </c>
      <c r="F85" s="32" t="s">
        <v>344</v>
      </c>
      <c r="G85" s="33"/>
      <c r="H85" s="32">
        <v>58</v>
      </c>
      <c r="I85" s="32">
        <v>3</v>
      </c>
      <c r="J85" s="32">
        <v>37</v>
      </c>
      <c r="K85" s="32">
        <v>0</v>
      </c>
      <c r="L85" s="33">
        <v>200200000</v>
      </c>
      <c r="M85" s="33">
        <v>6100000</v>
      </c>
      <c r="N85" s="33">
        <v>90200</v>
      </c>
      <c r="O85" s="33">
        <v>108200</v>
      </c>
      <c r="P85" s="34">
        <f t="shared" si="4"/>
        <v>3.1460539460539463E-2</v>
      </c>
      <c r="Q85" s="34">
        <f t="shared" si="5"/>
        <v>3.0469530469530468E-2</v>
      </c>
      <c r="R85" s="35" t="str">
        <f t="shared" si="6"/>
        <v/>
      </c>
      <c r="S85" s="32" t="str">
        <f>IF(AND(L85&gt;=INDEX(Succès!$D$10:$D$13,MATCH(A85,Succès!$A$10:$A$13,0)),P85&gt;=INDEX(Succès!$E$10:$E$13,MATCH(A85,Succès!$A$10:$A$13,0))),"Succès complet",IF(P85&gt;=INDEX(Succès!$E$10:$E$13,MATCH(A85,Succès!$A$10:$A$13,0)),"Engagé, portée modeste",IF(L85&gt;=INDEX(Succès!$D$10:$D$13,MATCH(A85,Succès!$A$10:$A$13,0)),"Portée sans engagement","Standard")))</f>
        <v>Portée sans engagement</v>
      </c>
      <c r="T85" s="32">
        <f t="shared" si="7"/>
        <v>0</v>
      </c>
    </row>
    <row r="86" spans="1:20">
      <c r="A86" s="32" t="s">
        <v>25</v>
      </c>
      <c r="B86" s="32" t="s">
        <v>476</v>
      </c>
      <c r="C86" s="32" t="s">
        <v>477</v>
      </c>
      <c r="D86" s="32"/>
      <c r="E86" s="32" t="s">
        <v>135</v>
      </c>
      <c r="F86" s="32" t="s">
        <v>344</v>
      </c>
      <c r="G86" s="33"/>
      <c r="H86" s="32">
        <v>14</v>
      </c>
      <c r="I86" s="32">
        <v>5</v>
      </c>
      <c r="J86" s="32">
        <v>91</v>
      </c>
      <c r="K86" s="32">
        <v>1</v>
      </c>
      <c r="L86" s="33">
        <v>15200000</v>
      </c>
      <c r="M86" s="33">
        <v>1900000</v>
      </c>
      <c r="N86" s="33">
        <v>68500</v>
      </c>
      <c r="O86" s="33">
        <v>68500</v>
      </c>
      <c r="P86" s="34">
        <f t="shared" si="4"/>
        <v>0.13401315789473683</v>
      </c>
      <c r="Q86" s="34">
        <f t="shared" si="5"/>
        <v>0.125</v>
      </c>
      <c r="R86" s="35" t="str">
        <f t="shared" si="6"/>
        <v/>
      </c>
      <c r="S86" s="32" t="str">
        <f>IF(AND(L86&gt;=INDEX(Succès!$D$10:$D$13,MATCH(A86,Succès!$A$10:$A$13,0)),P86&gt;=INDEX(Succès!$E$10:$E$13,MATCH(A86,Succès!$A$10:$A$13,0))),"Succès complet",IF(P86&gt;=INDEX(Succès!$E$10:$E$13,MATCH(A86,Succès!$A$10:$A$13,0)),"Engagé, portée modeste",IF(L86&gt;=INDEX(Succès!$D$10:$D$13,MATCH(A86,Succès!$A$10:$A$13,0)),"Portée sans engagement","Standard")))</f>
        <v>Succès complet</v>
      </c>
      <c r="T86" s="32">
        <f t="shared" si="7"/>
        <v>1</v>
      </c>
    </row>
    <row r="87" spans="1:20">
      <c r="A87" s="32" t="s">
        <v>25</v>
      </c>
      <c r="B87" s="32" t="s">
        <v>478</v>
      </c>
      <c r="C87" s="32" t="s">
        <v>479</v>
      </c>
      <c r="D87" s="32"/>
      <c r="E87" s="32" t="s">
        <v>116</v>
      </c>
      <c r="F87" s="32" t="s">
        <v>344</v>
      </c>
      <c r="G87" s="33"/>
      <c r="H87" s="32">
        <v>7</v>
      </c>
      <c r="I87" s="32">
        <v>11</v>
      </c>
      <c r="J87" s="32">
        <v>96</v>
      </c>
      <c r="K87" s="32">
        <v>1</v>
      </c>
      <c r="L87" s="33">
        <v>954700</v>
      </c>
      <c r="M87" s="33">
        <v>42700</v>
      </c>
      <c r="N87" s="33">
        <v>738</v>
      </c>
      <c r="O87" s="33">
        <v>5468</v>
      </c>
      <c r="P87" s="34">
        <f t="shared" si="4"/>
        <v>5.1226563318319894E-2</v>
      </c>
      <c r="Q87" s="34">
        <f t="shared" si="5"/>
        <v>4.4726091966062635E-2</v>
      </c>
      <c r="R87" s="35" t="str">
        <f t="shared" si="6"/>
        <v/>
      </c>
      <c r="S87" s="32" t="str">
        <f>IF(AND(L87&gt;=INDEX(Succès!$D$10:$D$13,MATCH(A87,Succès!$A$10:$A$13,0)),P87&gt;=INDEX(Succès!$E$10:$E$13,MATCH(A87,Succès!$A$10:$A$13,0))),"Succès complet",IF(P87&gt;=INDEX(Succès!$E$10:$E$13,MATCH(A87,Succès!$A$10:$A$13,0)),"Engagé, portée modeste",IF(L87&gt;=INDEX(Succès!$D$10:$D$13,MATCH(A87,Succès!$A$10:$A$13,0)),"Portée sans engagement","Standard")))</f>
        <v>Standard</v>
      </c>
      <c r="T87" s="32">
        <f t="shared" si="7"/>
        <v>0</v>
      </c>
    </row>
    <row r="88" spans="1:20">
      <c r="A88" s="32" t="s">
        <v>25</v>
      </c>
      <c r="B88" s="32" t="s">
        <v>480</v>
      </c>
      <c r="C88" s="32" t="s">
        <v>403</v>
      </c>
      <c r="D88" s="32"/>
      <c r="E88" s="32" t="s">
        <v>135</v>
      </c>
      <c r="F88" s="32" t="s">
        <v>344</v>
      </c>
      <c r="G88" s="33"/>
      <c r="H88" s="32">
        <v>10</v>
      </c>
      <c r="I88" s="32">
        <v>0</v>
      </c>
      <c r="J88" s="32">
        <v>46</v>
      </c>
      <c r="K88" s="32">
        <v>0</v>
      </c>
      <c r="L88" s="33">
        <v>4800000</v>
      </c>
      <c r="M88" s="33">
        <v>502900</v>
      </c>
      <c r="N88" s="33">
        <v>2617</v>
      </c>
      <c r="O88" s="33">
        <v>1480</v>
      </c>
      <c r="P88" s="34">
        <f t="shared" si="4"/>
        <v>0.10562437500000001</v>
      </c>
      <c r="Q88" s="34">
        <f t="shared" si="5"/>
        <v>0.10477083333333333</v>
      </c>
      <c r="R88" s="35" t="str">
        <f t="shared" si="6"/>
        <v/>
      </c>
      <c r="S88" s="32" t="str">
        <f>IF(AND(L88&gt;=INDEX(Succès!$D$10:$D$13,MATCH(A88,Succès!$A$10:$A$13,0)),P88&gt;=INDEX(Succès!$E$10:$E$13,MATCH(A88,Succès!$A$10:$A$13,0))),"Succès complet",IF(P88&gt;=INDEX(Succès!$E$10:$E$13,MATCH(A88,Succès!$A$10:$A$13,0)),"Engagé, portée modeste",IF(L88&gt;=INDEX(Succès!$D$10:$D$13,MATCH(A88,Succès!$A$10:$A$13,0)),"Portée sans engagement","Standard")))</f>
        <v>Standard</v>
      </c>
      <c r="T88" s="32">
        <f t="shared" si="7"/>
        <v>0</v>
      </c>
    </row>
    <row r="89" spans="1:20">
      <c r="A89" s="32" t="s">
        <v>25</v>
      </c>
      <c r="B89" s="32" t="s">
        <v>481</v>
      </c>
      <c r="C89" s="32" t="s">
        <v>482</v>
      </c>
      <c r="D89" s="32"/>
      <c r="E89" s="32" t="s">
        <v>116</v>
      </c>
      <c r="F89" s="32" t="s">
        <v>344</v>
      </c>
      <c r="G89" s="33"/>
      <c r="H89" s="32">
        <v>8</v>
      </c>
      <c r="I89" s="32">
        <v>0</v>
      </c>
      <c r="J89" s="32">
        <v>4</v>
      </c>
      <c r="K89" s="32">
        <v>0</v>
      </c>
      <c r="L89" s="33">
        <v>1200000</v>
      </c>
      <c r="M89" s="33">
        <v>60900</v>
      </c>
      <c r="N89" s="33">
        <v>1205</v>
      </c>
      <c r="O89" s="33">
        <v>11900</v>
      </c>
      <c r="P89" s="34">
        <f t="shared" si="4"/>
        <v>6.1670833333333334E-2</v>
      </c>
      <c r="Q89" s="34">
        <f t="shared" si="5"/>
        <v>5.0750000000000003E-2</v>
      </c>
      <c r="R89" s="35" t="str">
        <f t="shared" si="6"/>
        <v/>
      </c>
      <c r="S89" s="32" t="str">
        <f>IF(AND(L89&gt;=INDEX(Succès!$D$10:$D$13,MATCH(A89,Succès!$A$10:$A$13,0)),P89&gt;=INDEX(Succès!$E$10:$E$13,MATCH(A89,Succès!$A$10:$A$13,0))),"Succès complet",IF(P89&gt;=INDEX(Succès!$E$10:$E$13,MATCH(A89,Succès!$A$10:$A$13,0)),"Engagé, portée modeste",IF(L89&gt;=INDEX(Succès!$D$10:$D$13,MATCH(A89,Succès!$A$10:$A$13,0)),"Portée sans engagement","Standard")))</f>
        <v>Standard</v>
      </c>
      <c r="T89" s="32">
        <f t="shared" si="7"/>
        <v>0</v>
      </c>
    </row>
    <row r="90" spans="1:20">
      <c r="A90" s="32" t="s">
        <v>25</v>
      </c>
      <c r="B90" s="32" t="s">
        <v>483</v>
      </c>
      <c r="C90" s="32" t="s">
        <v>484</v>
      </c>
      <c r="D90" s="32"/>
      <c r="E90" s="32" t="s">
        <v>116</v>
      </c>
      <c r="F90" s="32" t="s">
        <v>344</v>
      </c>
      <c r="G90" s="33"/>
      <c r="H90" s="32">
        <v>16</v>
      </c>
      <c r="I90" s="32">
        <v>14</v>
      </c>
      <c r="J90" s="32">
        <v>148</v>
      </c>
      <c r="K90" s="32">
        <v>1</v>
      </c>
      <c r="L90" s="33">
        <v>6700000</v>
      </c>
      <c r="M90" s="33">
        <v>215800</v>
      </c>
      <c r="N90" s="33">
        <v>5923</v>
      </c>
      <c r="O90" s="33">
        <v>45800</v>
      </c>
      <c r="P90" s="34">
        <f t="shared" si="4"/>
        <v>3.992880597014925E-2</v>
      </c>
      <c r="Q90" s="34">
        <f t="shared" si="5"/>
        <v>3.2208955223880599E-2</v>
      </c>
      <c r="R90" s="35" t="str">
        <f t="shared" si="6"/>
        <v/>
      </c>
      <c r="S90" s="32" t="str">
        <f>IF(AND(L90&gt;=INDEX(Succès!$D$10:$D$13,MATCH(A90,Succès!$A$10:$A$13,0)),P90&gt;=INDEX(Succès!$E$10:$E$13,MATCH(A90,Succès!$A$10:$A$13,0))),"Succès complet",IF(P90&gt;=INDEX(Succès!$E$10:$E$13,MATCH(A90,Succès!$A$10:$A$13,0)),"Engagé, portée modeste",IF(L90&gt;=INDEX(Succès!$D$10:$D$13,MATCH(A90,Succès!$A$10:$A$13,0)),"Portée sans engagement","Standard")))</f>
        <v>Standard</v>
      </c>
      <c r="T90" s="32">
        <f t="shared" si="7"/>
        <v>0</v>
      </c>
    </row>
    <row r="91" spans="1:20">
      <c r="A91" s="32" t="s">
        <v>25</v>
      </c>
      <c r="B91" s="32" t="s">
        <v>485</v>
      </c>
      <c r="C91" s="32" t="s">
        <v>486</v>
      </c>
      <c r="D91" s="32"/>
      <c r="E91" s="32" t="s">
        <v>135</v>
      </c>
      <c r="F91" s="32" t="s">
        <v>344</v>
      </c>
      <c r="G91" s="33"/>
      <c r="H91" s="32">
        <v>12</v>
      </c>
      <c r="I91" s="32">
        <v>8</v>
      </c>
      <c r="J91" s="32">
        <v>51</v>
      </c>
      <c r="K91" s="32">
        <v>1</v>
      </c>
      <c r="L91" s="33">
        <v>35200000</v>
      </c>
      <c r="M91" s="33">
        <v>2400000</v>
      </c>
      <c r="N91" s="33">
        <v>25800</v>
      </c>
      <c r="O91" s="33">
        <v>10500</v>
      </c>
      <c r="P91" s="34">
        <f t="shared" si="4"/>
        <v>6.9213068181818188E-2</v>
      </c>
      <c r="Q91" s="34">
        <f t="shared" si="5"/>
        <v>6.8181818181818177E-2</v>
      </c>
      <c r="R91" s="35" t="str">
        <f t="shared" si="6"/>
        <v/>
      </c>
      <c r="S91" s="32" t="str">
        <f>IF(AND(L91&gt;=INDEX(Succès!$D$10:$D$13,MATCH(A91,Succès!$A$10:$A$13,0)),P91&gt;=INDEX(Succès!$E$10:$E$13,MATCH(A91,Succès!$A$10:$A$13,0))),"Succès complet",IF(P91&gt;=INDEX(Succès!$E$10:$E$13,MATCH(A91,Succès!$A$10:$A$13,0)),"Engagé, portée modeste",IF(L91&gt;=INDEX(Succès!$D$10:$D$13,MATCH(A91,Succès!$A$10:$A$13,0)),"Portée sans engagement","Standard")))</f>
        <v>Portée sans engagement</v>
      </c>
      <c r="T91" s="32">
        <f t="shared" si="7"/>
        <v>0</v>
      </c>
    </row>
    <row r="92" spans="1:20">
      <c r="A92" s="32" t="s">
        <v>25</v>
      </c>
      <c r="B92" s="32" t="s">
        <v>487</v>
      </c>
      <c r="C92" s="32" t="s">
        <v>488</v>
      </c>
      <c r="D92" s="32"/>
      <c r="E92" s="32" t="s">
        <v>120</v>
      </c>
      <c r="F92" s="32" t="s">
        <v>344</v>
      </c>
      <c r="G92" s="33"/>
      <c r="H92" s="32">
        <v>7</v>
      </c>
      <c r="I92" s="32">
        <v>3</v>
      </c>
      <c r="J92" s="32">
        <v>40</v>
      </c>
      <c r="K92" s="32">
        <v>1</v>
      </c>
      <c r="L92" s="33">
        <v>7700000</v>
      </c>
      <c r="M92" s="33">
        <v>944600</v>
      </c>
      <c r="N92" s="33">
        <v>6370</v>
      </c>
      <c r="O92" s="33">
        <v>41600</v>
      </c>
      <c r="P92" s="34">
        <f t="shared" si="4"/>
        <v>0.1289051948051948</v>
      </c>
      <c r="Q92" s="34">
        <f t="shared" si="5"/>
        <v>0.12267532467532467</v>
      </c>
      <c r="R92" s="35" t="str">
        <f t="shared" si="6"/>
        <v/>
      </c>
      <c r="S92" s="32" t="str">
        <f>IF(AND(L92&gt;=INDEX(Succès!$D$10:$D$13,MATCH(A92,Succès!$A$10:$A$13,0)),P92&gt;=INDEX(Succès!$E$10:$E$13,MATCH(A92,Succès!$A$10:$A$13,0))),"Succès complet",IF(P92&gt;=INDEX(Succès!$E$10:$E$13,MATCH(A92,Succès!$A$10:$A$13,0)),"Engagé, portée modeste",IF(L92&gt;=INDEX(Succès!$D$10:$D$13,MATCH(A92,Succès!$A$10:$A$13,0)),"Portée sans engagement","Standard")))</f>
        <v>Engagé, portée modeste</v>
      </c>
      <c r="T92" s="32">
        <f t="shared" si="7"/>
        <v>0</v>
      </c>
    </row>
    <row r="93" spans="1:20">
      <c r="A93" s="32" t="s">
        <v>25</v>
      </c>
      <c r="B93" s="32" t="s">
        <v>489</v>
      </c>
      <c r="C93" s="32" t="s">
        <v>180</v>
      </c>
      <c r="D93" s="32"/>
      <c r="E93" s="32" t="s">
        <v>135</v>
      </c>
      <c r="F93" s="32" t="s">
        <v>346</v>
      </c>
      <c r="G93" s="33"/>
      <c r="H93" s="32">
        <v>8</v>
      </c>
      <c r="I93" s="32">
        <v>0</v>
      </c>
      <c r="J93" s="32">
        <v>17</v>
      </c>
      <c r="K93" s="32">
        <v>0</v>
      </c>
      <c r="L93" s="33">
        <v>32500000</v>
      </c>
      <c r="M93" s="33">
        <v>3900000</v>
      </c>
      <c r="N93" s="33">
        <v>19400</v>
      </c>
      <c r="O93" s="33">
        <v>21300</v>
      </c>
      <c r="P93" s="34">
        <f t="shared" si="4"/>
        <v>0.12125230769230769</v>
      </c>
      <c r="Q93" s="34">
        <f t="shared" si="5"/>
        <v>0.12</v>
      </c>
      <c r="R93" s="35" t="str">
        <f t="shared" si="6"/>
        <v/>
      </c>
      <c r="S93" s="32" t="str">
        <f>IF(AND(L93&gt;=INDEX(Succès!$D$10:$D$13,MATCH(A93,Succès!$A$10:$A$13,0)),P93&gt;=INDEX(Succès!$E$10:$E$13,MATCH(A93,Succès!$A$10:$A$13,0))),"Succès complet",IF(P93&gt;=INDEX(Succès!$E$10:$E$13,MATCH(A93,Succès!$A$10:$A$13,0)),"Engagé, portée modeste",IF(L93&gt;=INDEX(Succès!$D$10:$D$13,MATCH(A93,Succès!$A$10:$A$13,0)),"Portée sans engagement","Standard")))</f>
        <v>Succès complet</v>
      </c>
      <c r="T93" s="32">
        <f t="shared" si="7"/>
        <v>1</v>
      </c>
    </row>
    <row r="94" spans="1:20">
      <c r="A94" s="32" t="s">
        <v>25</v>
      </c>
      <c r="B94" s="32" t="s">
        <v>490</v>
      </c>
      <c r="C94" s="32" t="s">
        <v>170</v>
      </c>
      <c r="D94" s="32" t="s">
        <v>129</v>
      </c>
      <c r="E94" s="32" t="s">
        <v>128</v>
      </c>
      <c r="F94" s="32" t="s">
        <v>341</v>
      </c>
      <c r="G94" s="33"/>
      <c r="H94" s="32">
        <v>11</v>
      </c>
      <c r="I94" s="32">
        <v>0</v>
      </c>
      <c r="J94" s="32">
        <v>41</v>
      </c>
      <c r="K94" s="32">
        <v>0</v>
      </c>
      <c r="L94" s="33">
        <v>26700000</v>
      </c>
      <c r="M94" s="33">
        <v>6600000</v>
      </c>
      <c r="N94" s="33">
        <v>107100</v>
      </c>
      <c r="O94" s="33">
        <v>49100</v>
      </c>
      <c r="P94" s="34">
        <f t="shared" si="4"/>
        <v>0.25304119850187268</v>
      </c>
      <c r="Q94" s="34">
        <f t="shared" si="5"/>
        <v>0.24719101123595505</v>
      </c>
      <c r="R94" s="35" t="str">
        <f t="shared" si="6"/>
        <v/>
      </c>
      <c r="S94" s="32" t="str">
        <f>IF(AND(L94&gt;=INDEX(Succès!$D$10:$D$13,MATCH(A94,Succès!$A$10:$A$13,0)),P94&gt;=INDEX(Succès!$E$10:$E$13,MATCH(A94,Succès!$A$10:$A$13,0))),"Succès complet",IF(P94&gt;=INDEX(Succès!$E$10:$E$13,MATCH(A94,Succès!$A$10:$A$13,0)),"Engagé, portée modeste",IF(L94&gt;=INDEX(Succès!$D$10:$D$13,MATCH(A94,Succès!$A$10:$A$13,0)),"Portée sans engagement","Standard")))</f>
        <v>Succès complet</v>
      </c>
      <c r="T94" s="32">
        <f t="shared" si="7"/>
        <v>1</v>
      </c>
    </row>
    <row r="95" spans="1:20">
      <c r="A95" s="32" t="s">
        <v>25</v>
      </c>
      <c r="B95" s="32" t="s">
        <v>491</v>
      </c>
      <c r="C95" s="32" t="s">
        <v>403</v>
      </c>
      <c r="D95" s="32"/>
      <c r="E95" s="32" t="s">
        <v>135</v>
      </c>
      <c r="F95" s="32" t="s">
        <v>344</v>
      </c>
      <c r="G95" s="33"/>
      <c r="H95" s="32">
        <v>8</v>
      </c>
      <c r="I95" s="32">
        <v>0</v>
      </c>
      <c r="J95" s="32">
        <v>20</v>
      </c>
      <c r="K95" s="32">
        <v>0</v>
      </c>
      <c r="L95" s="33">
        <v>2900000</v>
      </c>
      <c r="M95" s="33">
        <v>342000</v>
      </c>
      <c r="N95" s="33">
        <v>21500</v>
      </c>
      <c r="O95" s="33">
        <v>1687</v>
      </c>
      <c r="P95" s="34">
        <f t="shared" si="4"/>
        <v>0.12592655172413794</v>
      </c>
      <c r="Q95" s="34">
        <f t="shared" si="5"/>
        <v>0.11793103448275861</v>
      </c>
      <c r="R95" s="35" t="str">
        <f t="shared" si="6"/>
        <v/>
      </c>
      <c r="S95" s="32" t="str">
        <f>IF(AND(L95&gt;=INDEX(Succès!$D$10:$D$13,MATCH(A95,Succès!$A$10:$A$13,0)),P95&gt;=INDEX(Succès!$E$10:$E$13,MATCH(A95,Succès!$A$10:$A$13,0))),"Succès complet",IF(P95&gt;=INDEX(Succès!$E$10:$E$13,MATCH(A95,Succès!$A$10:$A$13,0)),"Engagé, portée modeste",IF(L95&gt;=INDEX(Succès!$D$10:$D$13,MATCH(A95,Succès!$A$10:$A$13,0)),"Portée sans engagement","Standard")))</f>
        <v>Engagé, portée modeste</v>
      </c>
      <c r="T95" s="32">
        <f t="shared" si="7"/>
        <v>0</v>
      </c>
    </row>
    <row r="96" spans="1:20">
      <c r="A96" s="32" t="s">
        <v>25</v>
      </c>
      <c r="B96" s="32" t="s">
        <v>492</v>
      </c>
      <c r="C96" s="32" t="s">
        <v>403</v>
      </c>
      <c r="D96" s="32"/>
      <c r="E96" s="32" t="s">
        <v>135</v>
      </c>
      <c r="F96" s="32" t="s">
        <v>344</v>
      </c>
      <c r="G96" s="33"/>
      <c r="H96" s="32">
        <v>10</v>
      </c>
      <c r="I96" s="32">
        <v>0</v>
      </c>
      <c r="J96" s="32">
        <v>16</v>
      </c>
      <c r="K96" s="32">
        <v>0</v>
      </c>
      <c r="L96" s="33">
        <v>1600000</v>
      </c>
      <c r="M96" s="33">
        <v>155400</v>
      </c>
      <c r="N96" s="33">
        <v>933</v>
      </c>
      <c r="O96" s="33">
        <v>472</v>
      </c>
      <c r="P96" s="34">
        <f t="shared" si="4"/>
        <v>9.8003124999999996E-2</v>
      </c>
      <c r="Q96" s="34">
        <f t="shared" si="5"/>
        <v>9.7125000000000003E-2</v>
      </c>
      <c r="R96" s="35" t="str">
        <f t="shared" si="6"/>
        <v/>
      </c>
      <c r="S96" s="32" t="str">
        <f>IF(AND(L96&gt;=INDEX(Succès!$D$10:$D$13,MATCH(A96,Succès!$A$10:$A$13,0)),P96&gt;=INDEX(Succès!$E$10:$E$13,MATCH(A96,Succès!$A$10:$A$13,0))),"Succès complet",IF(P96&gt;=INDEX(Succès!$E$10:$E$13,MATCH(A96,Succès!$A$10:$A$13,0)),"Engagé, portée modeste",IF(L96&gt;=INDEX(Succès!$D$10:$D$13,MATCH(A96,Succès!$A$10:$A$13,0)),"Portée sans engagement","Standard")))</f>
        <v>Standard</v>
      </c>
      <c r="T96" s="32">
        <f t="shared" si="7"/>
        <v>0</v>
      </c>
    </row>
    <row r="97" spans="1:20">
      <c r="A97" s="32" t="s">
        <v>25</v>
      </c>
      <c r="B97" s="32" t="s">
        <v>493</v>
      </c>
      <c r="C97" s="32" t="s">
        <v>494</v>
      </c>
      <c r="D97" s="32"/>
      <c r="E97" s="32" t="s">
        <v>135</v>
      </c>
      <c r="F97" s="32" t="s">
        <v>344</v>
      </c>
      <c r="G97" s="33"/>
      <c r="H97" s="32">
        <v>11</v>
      </c>
      <c r="I97" s="32">
        <v>0</v>
      </c>
      <c r="J97" s="32">
        <v>0</v>
      </c>
      <c r="K97" s="32">
        <v>0</v>
      </c>
      <c r="L97" s="33">
        <v>29800000</v>
      </c>
      <c r="M97" s="33">
        <v>976900</v>
      </c>
      <c r="N97" s="33">
        <v>10400</v>
      </c>
      <c r="O97" s="33">
        <v>143400</v>
      </c>
      <c r="P97" s="34">
        <f t="shared" si="4"/>
        <v>3.7942953020134229E-2</v>
      </c>
      <c r="Q97" s="34">
        <f t="shared" si="5"/>
        <v>3.2781879194630874E-2</v>
      </c>
      <c r="R97" s="35" t="str">
        <f t="shared" si="6"/>
        <v/>
      </c>
      <c r="S97" s="32" t="str">
        <f>IF(AND(L97&gt;=INDEX(Succès!$D$10:$D$13,MATCH(A97,Succès!$A$10:$A$13,0)),P97&gt;=INDEX(Succès!$E$10:$E$13,MATCH(A97,Succès!$A$10:$A$13,0))),"Succès complet",IF(P97&gt;=INDEX(Succès!$E$10:$E$13,MATCH(A97,Succès!$A$10:$A$13,0)),"Engagé, portée modeste",IF(L97&gt;=INDEX(Succès!$D$10:$D$13,MATCH(A97,Succès!$A$10:$A$13,0)),"Portée sans engagement","Standard")))</f>
        <v>Portée sans engagement</v>
      </c>
      <c r="T97" s="32">
        <f t="shared" si="7"/>
        <v>0</v>
      </c>
    </row>
    <row r="98" spans="1:20">
      <c r="A98" s="32" t="s">
        <v>25</v>
      </c>
      <c r="B98" s="32" t="s">
        <v>495</v>
      </c>
      <c r="C98" s="32" t="s">
        <v>496</v>
      </c>
      <c r="D98" s="32"/>
      <c r="E98" s="32" t="s">
        <v>124</v>
      </c>
      <c r="F98" s="32" t="s">
        <v>344</v>
      </c>
      <c r="G98" s="33"/>
      <c r="H98" s="32">
        <v>66</v>
      </c>
      <c r="I98" s="32">
        <v>12</v>
      </c>
      <c r="J98" s="32">
        <v>143</v>
      </c>
      <c r="K98" s="32">
        <v>1</v>
      </c>
      <c r="L98" s="33">
        <v>6200000</v>
      </c>
      <c r="M98" s="33">
        <v>1000000</v>
      </c>
      <c r="N98" s="33">
        <v>15300</v>
      </c>
      <c r="O98" s="33">
        <v>36400</v>
      </c>
      <c r="P98" s="34">
        <f t="shared" si="4"/>
        <v>0.16962903225806453</v>
      </c>
      <c r="Q98" s="34">
        <f t="shared" si="5"/>
        <v>0.16129032258064516</v>
      </c>
      <c r="R98" s="35" t="str">
        <f t="shared" si="6"/>
        <v/>
      </c>
      <c r="S98" s="32" t="str">
        <f>IF(AND(L98&gt;=INDEX(Succès!$D$10:$D$13,MATCH(A98,Succès!$A$10:$A$13,0)),P98&gt;=INDEX(Succès!$E$10:$E$13,MATCH(A98,Succès!$A$10:$A$13,0))),"Succès complet",IF(P98&gt;=INDEX(Succès!$E$10:$E$13,MATCH(A98,Succès!$A$10:$A$13,0)),"Engagé, portée modeste",IF(L98&gt;=INDEX(Succès!$D$10:$D$13,MATCH(A98,Succès!$A$10:$A$13,0)),"Portée sans engagement","Standard")))</f>
        <v>Engagé, portée modeste</v>
      </c>
      <c r="T98" s="32">
        <f t="shared" si="7"/>
        <v>0</v>
      </c>
    </row>
    <row r="99" spans="1:20">
      <c r="A99" s="32" t="s">
        <v>25</v>
      </c>
      <c r="B99" s="32" t="s">
        <v>497</v>
      </c>
      <c r="C99" s="32" t="s">
        <v>498</v>
      </c>
      <c r="D99" s="32"/>
      <c r="E99" s="32" t="s">
        <v>135</v>
      </c>
      <c r="F99" s="32" t="s">
        <v>344</v>
      </c>
      <c r="G99" s="33"/>
      <c r="H99" s="32">
        <v>11</v>
      </c>
      <c r="I99" s="32">
        <v>0</v>
      </c>
      <c r="J99" s="32">
        <v>0</v>
      </c>
      <c r="K99" s="32">
        <v>0</v>
      </c>
      <c r="L99" s="33">
        <v>2100000</v>
      </c>
      <c r="M99" s="33">
        <v>147300</v>
      </c>
      <c r="N99" s="33">
        <v>1335</v>
      </c>
      <c r="O99" s="33">
        <v>13000</v>
      </c>
      <c r="P99" s="34">
        <f t="shared" si="4"/>
        <v>7.6969047619047617E-2</v>
      </c>
      <c r="Q99" s="34">
        <f t="shared" si="5"/>
        <v>7.0142857142857146E-2</v>
      </c>
      <c r="R99" s="35" t="str">
        <f t="shared" si="6"/>
        <v/>
      </c>
      <c r="S99" s="32" t="str">
        <f>IF(AND(L99&gt;=INDEX(Succès!$D$10:$D$13,MATCH(A99,Succès!$A$10:$A$13,0)),P99&gt;=INDEX(Succès!$E$10:$E$13,MATCH(A99,Succès!$A$10:$A$13,0))),"Succès complet",IF(P99&gt;=INDEX(Succès!$E$10:$E$13,MATCH(A99,Succès!$A$10:$A$13,0)),"Engagé, portée modeste",IF(L99&gt;=INDEX(Succès!$D$10:$D$13,MATCH(A99,Succès!$A$10:$A$13,0)),"Portée sans engagement","Standard")))</f>
        <v>Standard</v>
      </c>
      <c r="T99" s="32">
        <f t="shared" si="7"/>
        <v>0</v>
      </c>
    </row>
    <row r="100" spans="1:20">
      <c r="A100" s="32" t="s">
        <v>25</v>
      </c>
      <c r="B100" s="32" t="s">
        <v>499</v>
      </c>
      <c r="C100" s="32" t="s">
        <v>500</v>
      </c>
      <c r="D100" s="32"/>
      <c r="E100" s="32" t="s">
        <v>116</v>
      </c>
      <c r="F100" s="32" t="s">
        <v>344</v>
      </c>
      <c r="G100" s="33"/>
      <c r="H100" s="32">
        <v>15</v>
      </c>
      <c r="I100" s="32">
        <v>5</v>
      </c>
      <c r="J100" s="32">
        <v>113</v>
      </c>
      <c r="K100" s="32">
        <v>1</v>
      </c>
      <c r="L100" s="33">
        <v>17100000</v>
      </c>
      <c r="M100" s="33">
        <v>1000000</v>
      </c>
      <c r="N100" s="33">
        <v>12100</v>
      </c>
      <c r="O100" s="33">
        <v>137100</v>
      </c>
      <c r="P100" s="34">
        <f t="shared" si="4"/>
        <v>6.72046783625731E-2</v>
      </c>
      <c r="Q100" s="34">
        <f t="shared" si="5"/>
        <v>5.8479532163742687E-2</v>
      </c>
      <c r="R100" s="35" t="str">
        <f t="shared" si="6"/>
        <v/>
      </c>
      <c r="S100" s="32" t="str">
        <f>IF(AND(L100&gt;=INDEX(Succès!$D$10:$D$13,MATCH(A100,Succès!$A$10:$A$13,0)),P100&gt;=INDEX(Succès!$E$10:$E$13,MATCH(A100,Succès!$A$10:$A$13,0))),"Succès complet",IF(P100&gt;=INDEX(Succès!$E$10:$E$13,MATCH(A100,Succès!$A$10:$A$13,0)),"Engagé, portée modeste",IF(L100&gt;=INDEX(Succès!$D$10:$D$13,MATCH(A100,Succès!$A$10:$A$13,0)),"Portée sans engagement","Standard")))</f>
        <v>Portée sans engagement</v>
      </c>
      <c r="T100" s="32">
        <f t="shared" si="7"/>
        <v>0</v>
      </c>
    </row>
    <row r="101" spans="1:20">
      <c r="A101" s="32" t="s">
        <v>25</v>
      </c>
      <c r="B101" s="32" t="s">
        <v>501</v>
      </c>
      <c r="C101" s="32" t="s">
        <v>502</v>
      </c>
      <c r="D101" s="32"/>
      <c r="E101" s="32" t="s">
        <v>116</v>
      </c>
      <c r="F101" s="32" t="s">
        <v>346</v>
      </c>
      <c r="G101" s="33"/>
      <c r="H101" s="32">
        <v>11</v>
      </c>
      <c r="I101" s="32">
        <v>0</v>
      </c>
      <c r="J101" s="32">
        <v>4</v>
      </c>
      <c r="K101" s="32">
        <v>0</v>
      </c>
      <c r="L101" s="33">
        <v>2400000</v>
      </c>
      <c r="M101" s="33">
        <v>475300</v>
      </c>
      <c r="N101" s="33">
        <v>4790</v>
      </c>
      <c r="O101" s="33">
        <v>34500</v>
      </c>
      <c r="P101" s="34">
        <f t="shared" si="4"/>
        <v>0.21441250000000001</v>
      </c>
      <c r="Q101" s="34">
        <f t="shared" si="5"/>
        <v>0.19804166666666667</v>
      </c>
      <c r="R101" s="35" t="str">
        <f t="shared" si="6"/>
        <v/>
      </c>
      <c r="S101" s="32" t="str">
        <f>IF(AND(L101&gt;=INDEX(Succès!$D$10:$D$13,MATCH(A101,Succès!$A$10:$A$13,0)),P101&gt;=INDEX(Succès!$E$10:$E$13,MATCH(A101,Succès!$A$10:$A$13,0))),"Succès complet",IF(P101&gt;=INDEX(Succès!$E$10:$E$13,MATCH(A101,Succès!$A$10:$A$13,0)),"Engagé, portée modeste",IF(L101&gt;=INDEX(Succès!$D$10:$D$13,MATCH(A101,Succès!$A$10:$A$13,0)),"Portée sans engagement","Standard")))</f>
        <v>Engagé, portée modeste</v>
      </c>
      <c r="T101" s="32">
        <f t="shared" si="7"/>
        <v>0</v>
      </c>
    </row>
    <row r="102" spans="1:20">
      <c r="A102" s="32" t="s">
        <v>43</v>
      </c>
      <c r="B102" s="32" t="s">
        <v>503</v>
      </c>
      <c r="C102" s="32" t="s">
        <v>504</v>
      </c>
      <c r="D102" s="32"/>
      <c r="E102" s="32" t="s">
        <v>93</v>
      </c>
      <c r="F102" s="32" t="s">
        <v>505</v>
      </c>
      <c r="G102" s="33"/>
      <c r="H102" s="32">
        <v>14</v>
      </c>
      <c r="I102" s="32">
        <v>0</v>
      </c>
      <c r="J102" s="32">
        <v>48</v>
      </c>
      <c r="K102" s="32">
        <v>0</v>
      </c>
      <c r="L102" s="33">
        <v>1300000</v>
      </c>
      <c r="M102" s="33">
        <v>289300</v>
      </c>
      <c r="N102" s="33">
        <v>3340</v>
      </c>
      <c r="O102" s="33">
        <v>2860</v>
      </c>
      <c r="P102" s="34">
        <f t="shared" si="4"/>
        <v>0.22730769230769229</v>
      </c>
      <c r="Q102" s="34">
        <f t="shared" si="5"/>
        <v>0.22253846153846155</v>
      </c>
      <c r="R102" s="35" t="str">
        <f t="shared" si="6"/>
        <v/>
      </c>
      <c r="S102" s="32" t="str">
        <f>IF(AND(L102&gt;=INDEX(Succès!$D$10:$D$13,MATCH(A102,Succès!$A$10:$A$13,0)),P102&gt;=INDEX(Succès!$E$10:$E$13,MATCH(A102,Succès!$A$10:$A$13,0))),"Succès complet",IF(P102&gt;=INDEX(Succès!$E$10:$E$13,MATCH(A102,Succès!$A$10:$A$13,0)),"Engagé, portée modeste",IF(L102&gt;=INDEX(Succès!$D$10:$D$13,MATCH(A102,Succès!$A$10:$A$13,0)),"Portée sans engagement","Standard")))</f>
        <v>Engagé, portée modeste</v>
      </c>
      <c r="T102" s="32">
        <f t="shared" si="7"/>
        <v>0</v>
      </c>
    </row>
    <row r="103" spans="1:20">
      <c r="A103" s="32" t="s">
        <v>43</v>
      </c>
      <c r="B103" s="32" t="s">
        <v>506</v>
      </c>
      <c r="C103" s="32" t="s">
        <v>507</v>
      </c>
      <c r="D103" s="32"/>
      <c r="E103" s="32" t="s">
        <v>93</v>
      </c>
      <c r="F103" s="32" t="s">
        <v>505</v>
      </c>
      <c r="G103" s="33"/>
      <c r="H103" s="32">
        <v>70</v>
      </c>
      <c r="I103" s="32">
        <v>5</v>
      </c>
      <c r="J103" s="32">
        <v>112</v>
      </c>
      <c r="K103" s="32">
        <v>0</v>
      </c>
      <c r="L103" s="33">
        <v>574900</v>
      </c>
      <c r="M103" s="33">
        <v>143500</v>
      </c>
      <c r="N103" s="33">
        <v>1549</v>
      </c>
      <c r="O103" s="33">
        <v>3832</v>
      </c>
      <c r="P103" s="34">
        <f t="shared" si="4"/>
        <v>0.25896851626369805</v>
      </c>
      <c r="Q103" s="34">
        <f t="shared" si="5"/>
        <v>0.24960862758740651</v>
      </c>
      <c r="R103" s="35" t="str">
        <f t="shared" si="6"/>
        <v/>
      </c>
      <c r="S103" s="32" t="str">
        <f>IF(AND(L103&gt;=INDEX(Succès!$D$10:$D$13,MATCH(A103,Succès!$A$10:$A$13,0)),P103&gt;=INDEX(Succès!$E$10:$E$13,MATCH(A103,Succès!$A$10:$A$13,0))),"Succès complet",IF(P103&gt;=INDEX(Succès!$E$10:$E$13,MATCH(A103,Succès!$A$10:$A$13,0)),"Engagé, portée modeste",IF(L103&gt;=INDEX(Succès!$D$10:$D$13,MATCH(A103,Succès!$A$10:$A$13,0)),"Portée sans engagement","Standard")))</f>
        <v>Engagé, portée modeste</v>
      </c>
      <c r="T103" s="32">
        <f t="shared" si="7"/>
        <v>0</v>
      </c>
    </row>
    <row r="104" spans="1:20">
      <c r="A104" s="32" t="s">
        <v>43</v>
      </c>
      <c r="B104" s="32" t="s">
        <v>508</v>
      </c>
      <c r="C104" s="32" t="s">
        <v>509</v>
      </c>
      <c r="D104" s="32"/>
      <c r="E104" s="32" t="s">
        <v>93</v>
      </c>
      <c r="F104" s="32" t="s">
        <v>505</v>
      </c>
      <c r="G104" s="33"/>
      <c r="H104" s="32">
        <v>70</v>
      </c>
      <c r="I104" s="32">
        <v>4</v>
      </c>
      <c r="J104" s="32">
        <v>97</v>
      </c>
      <c r="K104" s="32">
        <v>0</v>
      </c>
      <c r="L104" s="33">
        <v>355800</v>
      </c>
      <c r="M104" s="33">
        <v>76000</v>
      </c>
      <c r="N104" s="33">
        <v>1344</v>
      </c>
      <c r="O104" s="33">
        <v>704</v>
      </c>
      <c r="P104" s="34">
        <f t="shared" si="4"/>
        <v>0.21935919055649242</v>
      </c>
      <c r="Q104" s="34">
        <f t="shared" si="5"/>
        <v>0.21360314783586284</v>
      </c>
      <c r="R104" s="35" t="str">
        <f t="shared" si="6"/>
        <v/>
      </c>
      <c r="S104" s="32" t="str">
        <f>IF(AND(L104&gt;=INDEX(Succès!$D$10:$D$13,MATCH(A104,Succès!$A$10:$A$13,0)),P104&gt;=INDEX(Succès!$E$10:$E$13,MATCH(A104,Succès!$A$10:$A$13,0))),"Succès complet",IF(P104&gt;=INDEX(Succès!$E$10:$E$13,MATCH(A104,Succès!$A$10:$A$13,0)),"Engagé, portée modeste",IF(L104&gt;=INDEX(Succès!$D$10:$D$13,MATCH(A104,Succès!$A$10:$A$13,0)),"Portée sans engagement","Standard")))</f>
        <v>Engagé, portée modeste</v>
      </c>
      <c r="T104" s="32">
        <f t="shared" si="7"/>
        <v>0</v>
      </c>
    </row>
    <row r="105" spans="1:20">
      <c r="A105" s="32" t="s">
        <v>43</v>
      </c>
      <c r="B105" s="32" t="s">
        <v>510</v>
      </c>
      <c r="C105" s="32" t="s">
        <v>511</v>
      </c>
      <c r="D105" s="32"/>
      <c r="E105" s="32" t="s">
        <v>93</v>
      </c>
      <c r="F105" s="32" t="s">
        <v>505</v>
      </c>
      <c r="G105" s="33"/>
      <c r="H105" s="32">
        <v>8</v>
      </c>
      <c r="I105" s="32">
        <v>0</v>
      </c>
      <c r="J105" s="32">
        <v>0</v>
      </c>
      <c r="K105" s="32">
        <v>0</v>
      </c>
      <c r="L105" s="33">
        <v>6100000</v>
      </c>
      <c r="M105" s="33">
        <v>1100000</v>
      </c>
      <c r="N105" s="33">
        <v>8186</v>
      </c>
      <c r="O105" s="33">
        <v>21200</v>
      </c>
      <c r="P105" s="34">
        <f t="shared" si="4"/>
        <v>0.18514524590163933</v>
      </c>
      <c r="Q105" s="34">
        <f t="shared" si="5"/>
        <v>0.18032786885245902</v>
      </c>
      <c r="R105" s="35" t="str">
        <f t="shared" si="6"/>
        <v/>
      </c>
      <c r="S105" s="32" t="str">
        <f>IF(AND(L105&gt;=INDEX(Succès!$D$10:$D$13,MATCH(A105,Succès!$A$10:$A$13,0)),P105&gt;=INDEX(Succès!$E$10:$E$13,MATCH(A105,Succès!$A$10:$A$13,0))),"Succès complet",IF(P105&gt;=INDEX(Succès!$E$10:$E$13,MATCH(A105,Succès!$A$10:$A$13,0)),"Engagé, portée modeste",IF(L105&gt;=INDEX(Succès!$D$10:$D$13,MATCH(A105,Succès!$A$10:$A$13,0)),"Portée sans engagement","Standard")))</f>
        <v>Succès complet</v>
      </c>
      <c r="T105" s="32">
        <f t="shared" si="7"/>
        <v>1</v>
      </c>
    </row>
    <row r="106" spans="1:20">
      <c r="A106" s="32" t="s">
        <v>43</v>
      </c>
      <c r="B106" s="32" t="s">
        <v>512</v>
      </c>
      <c r="C106" s="32" t="s">
        <v>513</v>
      </c>
      <c r="D106" s="32"/>
      <c r="E106" s="32" t="s">
        <v>93</v>
      </c>
      <c r="F106" s="32" t="s">
        <v>505</v>
      </c>
      <c r="G106" s="33"/>
      <c r="H106" s="32">
        <v>10</v>
      </c>
      <c r="I106" s="32">
        <v>0</v>
      </c>
      <c r="J106" s="32">
        <v>43</v>
      </c>
      <c r="K106" s="32">
        <v>0</v>
      </c>
      <c r="L106" s="33">
        <v>4900000</v>
      </c>
      <c r="M106" s="33">
        <v>592800</v>
      </c>
      <c r="N106" s="33">
        <v>4703</v>
      </c>
      <c r="O106" s="33">
        <v>1206</v>
      </c>
      <c r="P106" s="34">
        <f t="shared" si="4"/>
        <v>0.12218551020408164</v>
      </c>
      <c r="Q106" s="34">
        <f t="shared" si="5"/>
        <v>0.12097959183673469</v>
      </c>
      <c r="R106" s="35" t="str">
        <f t="shared" si="6"/>
        <v/>
      </c>
      <c r="S106" s="32" t="str">
        <f>IF(AND(L106&gt;=INDEX(Succès!$D$10:$D$13,MATCH(A106,Succès!$A$10:$A$13,0)),P106&gt;=INDEX(Succès!$E$10:$E$13,MATCH(A106,Succès!$A$10:$A$13,0))),"Succès complet",IF(P106&gt;=INDEX(Succès!$E$10:$E$13,MATCH(A106,Succès!$A$10:$A$13,0)),"Engagé, portée modeste",IF(L106&gt;=INDEX(Succès!$D$10:$D$13,MATCH(A106,Succès!$A$10:$A$13,0)),"Portée sans engagement","Standard")))</f>
        <v>Standard</v>
      </c>
      <c r="T106" s="32">
        <f t="shared" si="7"/>
        <v>0</v>
      </c>
    </row>
    <row r="107" spans="1:20">
      <c r="A107" s="32" t="s">
        <v>43</v>
      </c>
      <c r="B107" s="32" t="s">
        <v>514</v>
      </c>
      <c r="C107" s="32" t="s">
        <v>515</v>
      </c>
      <c r="D107" s="32"/>
      <c r="E107" s="32" t="s">
        <v>93</v>
      </c>
      <c r="F107" s="32" t="s">
        <v>505</v>
      </c>
      <c r="G107" s="33"/>
      <c r="H107" s="32">
        <v>23</v>
      </c>
      <c r="I107" s="32">
        <v>4</v>
      </c>
      <c r="J107" s="32">
        <v>43</v>
      </c>
      <c r="K107" s="32">
        <v>1</v>
      </c>
      <c r="L107" s="33">
        <v>27000000</v>
      </c>
      <c r="M107" s="33">
        <v>6600000</v>
      </c>
      <c r="N107" s="33">
        <v>58700</v>
      </c>
      <c r="O107" s="33">
        <v>110800</v>
      </c>
      <c r="P107" s="34">
        <f t="shared" si="4"/>
        <v>0.25072222222222224</v>
      </c>
      <c r="Q107" s="34">
        <f t="shared" si="5"/>
        <v>0.24444444444444444</v>
      </c>
      <c r="R107" s="35" t="str">
        <f t="shared" si="6"/>
        <v/>
      </c>
      <c r="S107" s="32" t="str">
        <f>IF(AND(L107&gt;=INDEX(Succès!$D$10:$D$13,MATCH(A107,Succès!$A$10:$A$13,0)),P107&gt;=INDEX(Succès!$E$10:$E$13,MATCH(A107,Succès!$A$10:$A$13,0))),"Succès complet",IF(P107&gt;=INDEX(Succès!$E$10:$E$13,MATCH(A107,Succès!$A$10:$A$13,0)),"Engagé, portée modeste",IF(L107&gt;=INDEX(Succès!$D$10:$D$13,MATCH(A107,Succès!$A$10:$A$13,0)),"Portée sans engagement","Standard")))</f>
        <v>Succès complet</v>
      </c>
      <c r="T107" s="32">
        <f t="shared" si="7"/>
        <v>1</v>
      </c>
    </row>
    <row r="108" spans="1:20">
      <c r="A108" s="32" t="s">
        <v>43</v>
      </c>
      <c r="B108" s="32" t="s">
        <v>516</v>
      </c>
      <c r="C108" s="32" t="s">
        <v>517</v>
      </c>
      <c r="D108" s="32"/>
      <c r="E108" s="32" t="s">
        <v>93</v>
      </c>
      <c r="F108" s="32" t="s">
        <v>505</v>
      </c>
      <c r="G108" s="33"/>
      <c r="H108" s="32">
        <v>21</v>
      </c>
      <c r="I108" s="32">
        <v>1</v>
      </c>
      <c r="J108" s="32">
        <v>146</v>
      </c>
      <c r="K108" s="32">
        <v>0</v>
      </c>
      <c r="L108" s="33">
        <v>8689</v>
      </c>
      <c r="M108" s="33">
        <v>326</v>
      </c>
      <c r="N108" s="33">
        <v>31</v>
      </c>
      <c r="O108" s="33">
        <v>3</v>
      </c>
      <c r="P108" s="34">
        <f t="shared" si="4"/>
        <v>4.1431695246863853E-2</v>
      </c>
      <c r="Q108" s="34">
        <f t="shared" si="5"/>
        <v>3.7518701806882264E-2</v>
      </c>
      <c r="R108" s="35" t="str">
        <f t="shared" si="6"/>
        <v/>
      </c>
      <c r="S108" s="32" t="str">
        <f>IF(AND(L108&gt;=INDEX(Succès!$D$10:$D$13,MATCH(A108,Succès!$A$10:$A$13,0)),P108&gt;=INDEX(Succès!$E$10:$E$13,MATCH(A108,Succès!$A$10:$A$13,0))),"Succès complet",IF(P108&gt;=INDEX(Succès!$E$10:$E$13,MATCH(A108,Succès!$A$10:$A$13,0)),"Engagé, portée modeste",IF(L108&gt;=INDEX(Succès!$D$10:$D$13,MATCH(A108,Succès!$A$10:$A$13,0)),"Portée sans engagement","Standard")))</f>
        <v>Standard</v>
      </c>
      <c r="T108" s="32">
        <f t="shared" si="7"/>
        <v>0</v>
      </c>
    </row>
    <row r="109" spans="1:20">
      <c r="A109" s="32" t="s">
        <v>43</v>
      </c>
      <c r="B109" s="32" t="s">
        <v>518</v>
      </c>
      <c r="C109" s="32" t="s">
        <v>519</v>
      </c>
      <c r="D109" s="32"/>
      <c r="E109" s="32" t="s">
        <v>93</v>
      </c>
      <c r="F109" s="32" t="s">
        <v>505</v>
      </c>
      <c r="G109" s="33"/>
      <c r="H109" s="32">
        <v>13</v>
      </c>
      <c r="I109" s="32">
        <v>3</v>
      </c>
      <c r="J109" s="32">
        <v>110</v>
      </c>
      <c r="K109" s="32">
        <v>0</v>
      </c>
      <c r="L109" s="33">
        <v>260200</v>
      </c>
      <c r="M109" s="33">
        <v>26600</v>
      </c>
      <c r="N109" s="33">
        <v>528</v>
      </c>
      <c r="O109" s="33">
        <v>730</v>
      </c>
      <c r="P109" s="34">
        <f t="shared" si="4"/>
        <v>0.10706379707916987</v>
      </c>
      <c r="Q109" s="34">
        <f t="shared" si="5"/>
        <v>0.10222905457340507</v>
      </c>
      <c r="R109" s="35" t="str">
        <f t="shared" si="6"/>
        <v/>
      </c>
      <c r="S109" s="32" t="str">
        <f>IF(AND(L109&gt;=INDEX(Succès!$D$10:$D$13,MATCH(A109,Succès!$A$10:$A$13,0)),P109&gt;=INDEX(Succès!$E$10:$E$13,MATCH(A109,Succès!$A$10:$A$13,0))),"Succès complet",IF(P109&gt;=INDEX(Succès!$E$10:$E$13,MATCH(A109,Succès!$A$10:$A$13,0)),"Engagé, portée modeste",IF(L109&gt;=INDEX(Succès!$D$10:$D$13,MATCH(A109,Succès!$A$10:$A$13,0)),"Portée sans engagement","Standard")))</f>
        <v>Standard</v>
      </c>
      <c r="T109" s="32">
        <f t="shared" si="7"/>
        <v>0</v>
      </c>
    </row>
    <row r="110" spans="1:20">
      <c r="A110" s="32" t="s">
        <v>43</v>
      </c>
      <c r="B110" s="32" t="s">
        <v>520</v>
      </c>
      <c r="C110" s="32" t="s">
        <v>521</v>
      </c>
      <c r="D110" s="32"/>
      <c r="E110" s="32" t="s">
        <v>93</v>
      </c>
      <c r="F110" s="32" t="s">
        <v>505</v>
      </c>
      <c r="G110" s="33"/>
      <c r="H110" s="32">
        <v>30</v>
      </c>
      <c r="I110" s="32">
        <v>3</v>
      </c>
      <c r="J110" s="32">
        <v>93</v>
      </c>
      <c r="K110" s="32">
        <v>0</v>
      </c>
      <c r="L110" s="33">
        <v>620100</v>
      </c>
      <c r="M110" s="33">
        <v>46400</v>
      </c>
      <c r="N110" s="33">
        <v>413</v>
      </c>
      <c r="O110" s="33">
        <v>2578</v>
      </c>
      <c r="P110" s="34">
        <f t="shared" si="4"/>
        <v>7.9650056442509276E-2</v>
      </c>
      <c r="Q110" s="34">
        <f t="shared" si="5"/>
        <v>7.4826640864376709E-2</v>
      </c>
      <c r="R110" s="35" t="str">
        <f t="shared" si="6"/>
        <v/>
      </c>
      <c r="S110" s="32" t="str">
        <f>IF(AND(L110&gt;=INDEX(Succès!$D$10:$D$13,MATCH(A110,Succès!$A$10:$A$13,0)),P110&gt;=INDEX(Succès!$E$10:$E$13,MATCH(A110,Succès!$A$10:$A$13,0))),"Succès complet",IF(P110&gt;=INDEX(Succès!$E$10:$E$13,MATCH(A110,Succès!$A$10:$A$13,0)),"Engagé, portée modeste",IF(L110&gt;=INDEX(Succès!$D$10:$D$13,MATCH(A110,Succès!$A$10:$A$13,0)),"Portée sans engagement","Standard")))</f>
        <v>Standard</v>
      </c>
      <c r="T110" s="32">
        <f t="shared" si="7"/>
        <v>0</v>
      </c>
    </row>
    <row r="111" spans="1:20">
      <c r="A111" s="32" t="s">
        <v>43</v>
      </c>
      <c r="B111" s="32" t="s">
        <v>522</v>
      </c>
      <c r="C111" s="32" t="s">
        <v>523</v>
      </c>
      <c r="D111" s="32"/>
      <c r="E111" s="32" t="s">
        <v>93</v>
      </c>
      <c r="F111" s="32" t="s">
        <v>505</v>
      </c>
      <c r="G111" s="33"/>
      <c r="H111" s="32">
        <v>23</v>
      </c>
      <c r="I111" s="32">
        <v>4</v>
      </c>
      <c r="J111" s="32">
        <v>68</v>
      </c>
      <c r="K111" s="32">
        <v>1</v>
      </c>
      <c r="L111" s="33">
        <v>4200000</v>
      </c>
      <c r="M111" s="33">
        <v>1300000</v>
      </c>
      <c r="N111" s="33">
        <v>46700</v>
      </c>
      <c r="O111" s="33">
        <v>28600</v>
      </c>
      <c r="P111" s="34">
        <f t="shared" si="4"/>
        <v>0.32745238095238094</v>
      </c>
      <c r="Q111" s="34">
        <f t="shared" si="5"/>
        <v>0.30952380952380953</v>
      </c>
      <c r="R111" s="35" t="str">
        <f t="shared" si="6"/>
        <v/>
      </c>
      <c r="S111" s="32" t="str">
        <f>IF(AND(L111&gt;=INDEX(Succès!$D$10:$D$13,MATCH(A111,Succès!$A$10:$A$13,0)),P111&gt;=INDEX(Succès!$E$10:$E$13,MATCH(A111,Succès!$A$10:$A$13,0))),"Succès complet",IF(P111&gt;=INDEX(Succès!$E$10:$E$13,MATCH(A111,Succès!$A$10:$A$13,0)),"Engagé, portée modeste",IF(L111&gt;=INDEX(Succès!$D$10:$D$13,MATCH(A111,Succès!$A$10:$A$13,0)),"Portée sans engagement","Standard")))</f>
        <v>Engagé, portée modeste</v>
      </c>
      <c r="T111" s="32">
        <f t="shared" si="7"/>
        <v>0</v>
      </c>
    </row>
    <row r="112" spans="1:20">
      <c r="A112" s="32" t="s">
        <v>43</v>
      </c>
      <c r="B112" s="32" t="s">
        <v>524</v>
      </c>
      <c r="C112" s="32" t="s">
        <v>525</v>
      </c>
      <c r="D112" s="32"/>
      <c r="E112" s="32" t="s">
        <v>93</v>
      </c>
      <c r="F112" s="32" t="s">
        <v>505</v>
      </c>
      <c r="G112" s="33"/>
      <c r="H112" s="32">
        <v>18</v>
      </c>
      <c r="I112" s="32">
        <v>1</v>
      </c>
      <c r="J112" s="32">
        <v>140</v>
      </c>
      <c r="K112" s="32">
        <v>0</v>
      </c>
      <c r="L112" s="33">
        <v>38900000</v>
      </c>
      <c r="M112" s="33">
        <v>5500000</v>
      </c>
      <c r="N112" s="33">
        <v>153700</v>
      </c>
      <c r="O112" s="33">
        <v>19000</v>
      </c>
      <c r="P112" s="34">
        <f t="shared" si="4"/>
        <v>0.14582776349614396</v>
      </c>
      <c r="Q112" s="34">
        <f t="shared" si="5"/>
        <v>0.14138817480719795</v>
      </c>
      <c r="R112" s="35" t="str">
        <f t="shared" si="6"/>
        <v/>
      </c>
      <c r="S112" s="32" t="str">
        <f>IF(AND(L112&gt;=INDEX(Succès!$D$10:$D$13,MATCH(A112,Succès!$A$10:$A$13,0)),P112&gt;=INDEX(Succès!$E$10:$E$13,MATCH(A112,Succès!$A$10:$A$13,0))),"Succès complet",IF(P112&gt;=INDEX(Succès!$E$10:$E$13,MATCH(A112,Succès!$A$10:$A$13,0)),"Engagé, portée modeste",IF(L112&gt;=INDEX(Succès!$D$10:$D$13,MATCH(A112,Succès!$A$10:$A$13,0)),"Portée sans engagement","Standard")))</f>
        <v>Portée sans engagement</v>
      </c>
      <c r="T112" s="32">
        <f t="shared" si="7"/>
        <v>0</v>
      </c>
    </row>
    <row r="113" spans="1:20">
      <c r="A113" s="32" t="s">
        <v>43</v>
      </c>
      <c r="B113" s="32" t="s">
        <v>526</v>
      </c>
      <c r="C113" s="32" t="s">
        <v>527</v>
      </c>
      <c r="D113" s="32"/>
      <c r="E113" s="32" t="s">
        <v>93</v>
      </c>
      <c r="F113" s="32" t="s">
        <v>505</v>
      </c>
      <c r="G113" s="33"/>
      <c r="H113" s="32">
        <v>46</v>
      </c>
      <c r="I113" s="32">
        <v>0</v>
      </c>
      <c r="J113" s="32">
        <v>133</v>
      </c>
      <c r="K113" s="32">
        <v>0</v>
      </c>
      <c r="L113" s="33">
        <v>963000</v>
      </c>
      <c r="M113" s="33">
        <v>40600</v>
      </c>
      <c r="N113" s="33">
        <v>6552</v>
      </c>
      <c r="O113" s="33">
        <v>1765</v>
      </c>
      <c r="P113" s="34">
        <f t="shared" si="4"/>
        <v>5.0796469366562826E-2</v>
      </c>
      <c r="Q113" s="34">
        <f t="shared" si="5"/>
        <v>4.2159916926272065E-2</v>
      </c>
      <c r="R113" s="35" t="str">
        <f t="shared" si="6"/>
        <v/>
      </c>
      <c r="S113" s="32" t="str">
        <f>IF(AND(L113&gt;=INDEX(Succès!$D$10:$D$13,MATCH(A113,Succès!$A$10:$A$13,0)),P113&gt;=INDEX(Succès!$E$10:$E$13,MATCH(A113,Succès!$A$10:$A$13,0))),"Succès complet",IF(P113&gt;=INDEX(Succès!$E$10:$E$13,MATCH(A113,Succès!$A$10:$A$13,0)),"Engagé, portée modeste",IF(L113&gt;=INDEX(Succès!$D$10:$D$13,MATCH(A113,Succès!$A$10:$A$13,0)),"Portée sans engagement","Standard")))</f>
        <v>Standard</v>
      </c>
      <c r="T113" s="32">
        <f t="shared" si="7"/>
        <v>0</v>
      </c>
    </row>
    <row r="114" spans="1:20">
      <c r="A114" s="32" t="s">
        <v>43</v>
      </c>
      <c r="B114" s="32" t="s">
        <v>528</v>
      </c>
      <c r="C114" s="32" t="s">
        <v>529</v>
      </c>
      <c r="D114" s="32"/>
      <c r="E114" s="32" t="s">
        <v>93</v>
      </c>
      <c r="F114" s="32" t="s">
        <v>505</v>
      </c>
      <c r="G114" s="33"/>
      <c r="H114" s="32">
        <v>14</v>
      </c>
      <c r="I114" s="32">
        <v>0</v>
      </c>
      <c r="J114" s="32">
        <v>76</v>
      </c>
      <c r="K114" s="32">
        <v>0</v>
      </c>
      <c r="L114" s="33">
        <v>107100000</v>
      </c>
      <c r="M114" s="33">
        <v>16400000</v>
      </c>
      <c r="N114" s="33">
        <v>126100</v>
      </c>
      <c r="O114" s="33">
        <v>134600</v>
      </c>
      <c r="P114" s="34">
        <f t="shared" si="4"/>
        <v>0.15556209150326797</v>
      </c>
      <c r="Q114" s="34">
        <f t="shared" si="5"/>
        <v>0.1531279178338002</v>
      </c>
      <c r="R114" s="35" t="str">
        <f t="shared" si="6"/>
        <v/>
      </c>
      <c r="S114" s="32" t="str">
        <f>IF(AND(L114&gt;=INDEX(Succès!$D$10:$D$13,MATCH(A114,Succès!$A$10:$A$13,0)),P114&gt;=INDEX(Succès!$E$10:$E$13,MATCH(A114,Succès!$A$10:$A$13,0))),"Succès complet",IF(P114&gt;=INDEX(Succès!$E$10:$E$13,MATCH(A114,Succès!$A$10:$A$13,0)),"Engagé, portée modeste",IF(L114&gt;=INDEX(Succès!$D$10:$D$13,MATCH(A114,Succès!$A$10:$A$13,0)),"Portée sans engagement","Standard")))</f>
        <v>Portée sans engagement</v>
      </c>
      <c r="T114" s="32">
        <f t="shared" si="7"/>
        <v>0</v>
      </c>
    </row>
    <row r="115" spans="1:20">
      <c r="A115" s="32" t="s">
        <v>43</v>
      </c>
      <c r="B115" s="32" t="s">
        <v>530</v>
      </c>
      <c r="C115" s="32" t="s">
        <v>531</v>
      </c>
      <c r="D115" s="32"/>
      <c r="E115" s="32" t="s">
        <v>93</v>
      </c>
      <c r="F115" s="32" t="s">
        <v>505</v>
      </c>
      <c r="G115" s="33"/>
      <c r="H115" s="32">
        <v>129</v>
      </c>
      <c r="I115" s="32">
        <v>6</v>
      </c>
      <c r="J115" s="32">
        <v>104</v>
      </c>
      <c r="K115" s="32">
        <v>1</v>
      </c>
      <c r="L115" s="33">
        <v>29800000</v>
      </c>
      <c r="M115" s="33">
        <v>5000000</v>
      </c>
      <c r="N115" s="33">
        <v>31900</v>
      </c>
      <c r="O115" s="33">
        <v>14700</v>
      </c>
      <c r="P115" s="34">
        <f t="shared" si="4"/>
        <v>0.1693489932885906</v>
      </c>
      <c r="Q115" s="34">
        <f t="shared" si="5"/>
        <v>0.16778523489932887</v>
      </c>
      <c r="R115" s="35" t="str">
        <f t="shared" si="6"/>
        <v/>
      </c>
      <c r="S115" s="32" t="str">
        <f>IF(AND(L115&gt;=INDEX(Succès!$D$10:$D$13,MATCH(A115,Succès!$A$10:$A$13,0)),P115&gt;=INDEX(Succès!$E$10:$E$13,MATCH(A115,Succès!$A$10:$A$13,0))),"Succès complet",IF(P115&gt;=INDEX(Succès!$E$10:$E$13,MATCH(A115,Succès!$A$10:$A$13,0)),"Engagé, portée modeste",IF(L115&gt;=INDEX(Succès!$D$10:$D$13,MATCH(A115,Succès!$A$10:$A$13,0)),"Portée sans engagement","Standard")))</f>
        <v>Portée sans engagement</v>
      </c>
      <c r="T115" s="32">
        <f t="shared" si="7"/>
        <v>0</v>
      </c>
    </row>
    <row r="116" spans="1:20">
      <c r="A116" s="32" t="s">
        <v>43</v>
      </c>
      <c r="B116" s="32" t="s">
        <v>532</v>
      </c>
      <c r="C116" s="32" t="s">
        <v>533</v>
      </c>
      <c r="D116" s="32"/>
      <c r="E116" s="32" t="s">
        <v>93</v>
      </c>
      <c r="F116" s="32" t="s">
        <v>505</v>
      </c>
      <c r="G116" s="33"/>
      <c r="H116" s="32">
        <v>17</v>
      </c>
      <c r="I116" s="32">
        <v>0</v>
      </c>
      <c r="J116" s="32">
        <v>115</v>
      </c>
      <c r="K116" s="32">
        <v>0</v>
      </c>
      <c r="L116" s="33">
        <v>22300</v>
      </c>
      <c r="M116" s="33">
        <v>1928</v>
      </c>
      <c r="N116" s="33">
        <v>85</v>
      </c>
      <c r="O116" s="33">
        <v>47</v>
      </c>
      <c r="P116" s="34">
        <f t="shared" si="4"/>
        <v>9.2376681614349782E-2</v>
      </c>
      <c r="Q116" s="34">
        <f t="shared" si="5"/>
        <v>8.6457399103139015E-2</v>
      </c>
      <c r="R116" s="35" t="str">
        <f t="shared" si="6"/>
        <v/>
      </c>
      <c r="S116" s="32" t="str">
        <f>IF(AND(L116&gt;=INDEX(Succès!$D$10:$D$13,MATCH(A116,Succès!$A$10:$A$13,0)),P116&gt;=INDEX(Succès!$E$10:$E$13,MATCH(A116,Succès!$A$10:$A$13,0))),"Succès complet",IF(P116&gt;=INDEX(Succès!$E$10:$E$13,MATCH(A116,Succès!$A$10:$A$13,0)),"Engagé, portée modeste",IF(L116&gt;=INDEX(Succès!$D$10:$D$13,MATCH(A116,Succès!$A$10:$A$13,0)),"Portée sans engagement","Standard")))</f>
        <v>Standard</v>
      </c>
      <c r="T116" s="32">
        <f t="shared" si="7"/>
        <v>0</v>
      </c>
    </row>
    <row r="117" spans="1:20">
      <c r="A117" s="32" t="s">
        <v>43</v>
      </c>
      <c r="B117" s="32" t="s">
        <v>534</v>
      </c>
      <c r="C117" s="32" t="s">
        <v>535</v>
      </c>
      <c r="D117" s="32"/>
      <c r="E117" s="32" t="s">
        <v>93</v>
      </c>
      <c r="F117" s="32" t="s">
        <v>505</v>
      </c>
      <c r="G117" s="33"/>
      <c r="H117" s="32">
        <v>14</v>
      </c>
      <c r="I117" s="32">
        <v>0</v>
      </c>
      <c r="J117" s="32">
        <v>1</v>
      </c>
      <c r="K117" s="32">
        <v>0</v>
      </c>
      <c r="L117" s="33">
        <v>11000000</v>
      </c>
      <c r="M117" s="33">
        <v>2500000</v>
      </c>
      <c r="N117" s="33">
        <v>40600</v>
      </c>
      <c r="O117" s="33">
        <v>95600</v>
      </c>
      <c r="P117" s="34">
        <f t="shared" si="4"/>
        <v>0.23965454545454545</v>
      </c>
      <c r="Q117" s="34">
        <f t="shared" si="5"/>
        <v>0.22727272727272727</v>
      </c>
      <c r="R117" s="35" t="str">
        <f t="shared" si="6"/>
        <v/>
      </c>
      <c r="S117" s="32" t="str">
        <f>IF(AND(L117&gt;=INDEX(Succès!$D$10:$D$13,MATCH(A117,Succès!$A$10:$A$13,0)),P117&gt;=INDEX(Succès!$E$10:$E$13,MATCH(A117,Succès!$A$10:$A$13,0))),"Succès complet",IF(P117&gt;=INDEX(Succès!$E$10:$E$13,MATCH(A117,Succès!$A$10:$A$13,0)),"Engagé, portée modeste",IF(L117&gt;=INDEX(Succès!$D$10:$D$13,MATCH(A117,Succès!$A$10:$A$13,0)),"Portée sans engagement","Standard")))</f>
        <v>Succès complet</v>
      </c>
      <c r="T117" s="32">
        <f t="shared" si="7"/>
        <v>1</v>
      </c>
    </row>
    <row r="118" spans="1:20">
      <c r="A118" s="32" t="s">
        <v>43</v>
      </c>
      <c r="B118" s="32" t="s">
        <v>536</v>
      </c>
      <c r="C118" s="32" t="s">
        <v>537</v>
      </c>
      <c r="D118" s="32"/>
      <c r="E118" s="32" t="s">
        <v>93</v>
      </c>
      <c r="F118" s="32" t="s">
        <v>505</v>
      </c>
      <c r="G118" s="33"/>
      <c r="H118" s="32">
        <v>11</v>
      </c>
      <c r="I118" s="32">
        <v>0</v>
      </c>
      <c r="J118" s="32">
        <v>39</v>
      </c>
      <c r="K118" s="32">
        <v>0</v>
      </c>
      <c r="L118" s="33">
        <v>67300000</v>
      </c>
      <c r="M118" s="33">
        <v>15100000</v>
      </c>
      <c r="N118" s="33">
        <v>136800</v>
      </c>
      <c r="O118" s="33">
        <v>326100</v>
      </c>
      <c r="P118" s="34">
        <f t="shared" si="4"/>
        <v>0.23124665676077266</v>
      </c>
      <c r="Q118" s="34">
        <f t="shared" si="5"/>
        <v>0.22436849925705796</v>
      </c>
      <c r="R118" s="35" t="str">
        <f t="shared" si="6"/>
        <v/>
      </c>
      <c r="S118" s="32" t="str">
        <f>IF(AND(L118&gt;=INDEX(Succès!$D$10:$D$13,MATCH(A118,Succès!$A$10:$A$13,0)),P118&gt;=INDEX(Succès!$E$10:$E$13,MATCH(A118,Succès!$A$10:$A$13,0))),"Succès complet",IF(P118&gt;=INDEX(Succès!$E$10:$E$13,MATCH(A118,Succès!$A$10:$A$13,0)),"Engagé, portée modeste",IF(L118&gt;=INDEX(Succès!$D$10:$D$13,MATCH(A118,Succès!$A$10:$A$13,0)),"Portée sans engagement","Standard")))</f>
        <v>Succès complet</v>
      </c>
      <c r="T118" s="32">
        <f t="shared" si="7"/>
        <v>1</v>
      </c>
    </row>
    <row r="119" spans="1:20">
      <c r="A119" s="32" t="s">
        <v>43</v>
      </c>
      <c r="B119" s="32" t="s">
        <v>538</v>
      </c>
      <c r="C119" s="32" t="s">
        <v>539</v>
      </c>
      <c r="D119" s="32"/>
      <c r="E119" s="32" t="s">
        <v>93</v>
      </c>
      <c r="F119" s="32" t="s">
        <v>505</v>
      </c>
      <c r="G119" s="33"/>
      <c r="H119" s="32">
        <v>129</v>
      </c>
      <c r="I119" s="32">
        <v>1</v>
      </c>
      <c r="J119" s="32">
        <v>122</v>
      </c>
      <c r="K119" s="32">
        <v>0</v>
      </c>
      <c r="L119" s="33">
        <v>686300</v>
      </c>
      <c r="M119" s="33">
        <v>136200</v>
      </c>
      <c r="N119" s="33">
        <v>1569</v>
      </c>
      <c r="O119" s="33">
        <v>3385</v>
      </c>
      <c r="P119" s="34">
        <f t="shared" si="4"/>
        <v>0.20567390354072562</v>
      </c>
      <c r="Q119" s="34">
        <f t="shared" si="5"/>
        <v>0.19845548593909368</v>
      </c>
      <c r="R119" s="35" t="str">
        <f t="shared" si="6"/>
        <v/>
      </c>
      <c r="S119" s="32" t="str">
        <f>IF(AND(L119&gt;=INDEX(Succès!$D$10:$D$13,MATCH(A119,Succès!$A$10:$A$13,0)),P119&gt;=INDEX(Succès!$E$10:$E$13,MATCH(A119,Succès!$A$10:$A$13,0))),"Succès complet",IF(P119&gt;=INDEX(Succès!$E$10:$E$13,MATCH(A119,Succès!$A$10:$A$13,0)),"Engagé, portée modeste",IF(L119&gt;=INDEX(Succès!$D$10:$D$13,MATCH(A119,Succès!$A$10:$A$13,0)),"Portée sans engagement","Standard")))</f>
        <v>Engagé, portée modeste</v>
      </c>
      <c r="T119" s="32">
        <f t="shared" si="7"/>
        <v>0</v>
      </c>
    </row>
    <row r="120" spans="1:20">
      <c r="A120" s="32" t="s">
        <v>43</v>
      </c>
      <c r="B120" s="32" t="s">
        <v>540</v>
      </c>
      <c r="C120" s="32" t="s">
        <v>541</v>
      </c>
      <c r="D120" s="32"/>
      <c r="E120" s="32" t="s">
        <v>93</v>
      </c>
      <c r="F120" s="32" t="s">
        <v>505</v>
      </c>
      <c r="G120" s="33"/>
      <c r="H120" s="32">
        <v>10</v>
      </c>
      <c r="I120" s="32">
        <v>0</v>
      </c>
      <c r="J120" s="32">
        <v>54</v>
      </c>
      <c r="K120" s="32">
        <v>0</v>
      </c>
      <c r="L120" s="33">
        <v>1100000</v>
      </c>
      <c r="M120" s="33">
        <v>268900</v>
      </c>
      <c r="N120" s="33">
        <v>2381</v>
      </c>
      <c r="O120" s="33">
        <v>538</v>
      </c>
      <c r="P120" s="34">
        <f t="shared" si="4"/>
        <v>0.24710818181818181</v>
      </c>
      <c r="Q120" s="34">
        <f t="shared" si="5"/>
        <v>0.24445454545454545</v>
      </c>
      <c r="R120" s="35" t="str">
        <f t="shared" si="6"/>
        <v/>
      </c>
      <c r="S120" s="32" t="str">
        <f>IF(AND(L120&gt;=INDEX(Succès!$D$10:$D$13,MATCH(A120,Succès!$A$10:$A$13,0)),P120&gt;=INDEX(Succès!$E$10:$E$13,MATCH(A120,Succès!$A$10:$A$13,0))),"Succès complet",IF(P120&gt;=INDEX(Succès!$E$10:$E$13,MATCH(A120,Succès!$A$10:$A$13,0)),"Engagé, portée modeste",IF(L120&gt;=INDEX(Succès!$D$10:$D$13,MATCH(A120,Succès!$A$10:$A$13,0)),"Portée sans engagement","Standard")))</f>
        <v>Engagé, portée modeste</v>
      </c>
      <c r="T120" s="32">
        <f t="shared" si="7"/>
        <v>0</v>
      </c>
    </row>
    <row r="121" spans="1:20">
      <c r="A121" s="32" t="s">
        <v>43</v>
      </c>
      <c r="B121" s="32" t="s">
        <v>542</v>
      </c>
      <c r="C121" s="32" t="s">
        <v>543</v>
      </c>
      <c r="D121" s="32"/>
      <c r="E121" s="32" t="s">
        <v>93</v>
      </c>
      <c r="F121" s="32" t="s">
        <v>505</v>
      </c>
      <c r="G121" s="33"/>
      <c r="H121" s="32">
        <v>18</v>
      </c>
      <c r="I121" s="32">
        <v>0</v>
      </c>
      <c r="J121" s="32">
        <v>19</v>
      </c>
      <c r="K121" s="32">
        <v>0</v>
      </c>
      <c r="L121" s="33">
        <v>1200000</v>
      </c>
      <c r="M121" s="33">
        <v>285000</v>
      </c>
      <c r="N121" s="33">
        <v>4399</v>
      </c>
      <c r="O121" s="33">
        <v>2433</v>
      </c>
      <c r="P121" s="34">
        <f t="shared" si="4"/>
        <v>0.24319333333333334</v>
      </c>
      <c r="Q121" s="34">
        <f t="shared" si="5"/>
        <v>0.23749999999999999</v>
      </c>
      <c r="R121" s="35" t="str">
        <f t="shared" si="6"/>
        <v/>
      </c>
      <c r="S121" s="32" t="str">
        <f>IF(AND(L121&gt;=INDEX(Succès!$D$10:$D$13,MATCH(A121,Succès!$A$10:$A$13,0)),P121&gt;=INDEX(Succès!$E$10:$E$13,MATCH(A121,Succès!$A$10:$A$13,0))),"Succès complet",IF(P121&gt;=INDEX(Succès!$E$10:$E$13,MATCH(A121,Succès!$A$10:$A$13,0)),"Engagé, portée modeste",IF(L121&gt;=INDEX(Succès!$D$10:$D$13,MATCH(A121,Succès!$A$10:$A$13,0)),"Portée sans engagement","Standard")))</f>
        <v>Engagé, portée modeste</v>
      </c>
      <c r="T121" s="32">
        <f t="shared" si="7"/>
        <v>0</v>
      </c>
    </row>
    <row r="122" spans="1:20">
      <c r="A122" s="32" t="s">
        <v>43</v>
      </c>
      <c r="B122" s="32" t="s">
        <v>544</v>
      </c>
      <c r="C122" s="32" t="s">
        <v>545</v>
      </c>
      <c r="D122" s="32"/>
      <c r="E122" s="32" t="s">
        <v>93</v>
      </c>
      <c r="F122" s="32" t="s">
        <v>505</v>
      </c>
      <c r="G122" s="33"/>
      <c r="H122" s="32">
        <v>67</v>
      </c>
      <c r="I122" s="32">
        <v>8</v>
      </c>
      <c r="J122" s="32">
        <v>118</v>
      </c>
      <c r="K122" s="32">
        <v>0</v>
      </c>
      <c r="L122" s="33">
        <v>5300000</v>
      </c>
      <c r="M122" s="33">
        <v>771100</v>
      </c>
      <c r="N122" s="33">
        <v>14400</v>
      </c>
      <c r="O122" s="33">
        <v>79800</v>
      </c>
      <c r="P122" s="34">
        <f t="shared" si="4"/>
        <v>0.16326415094339622</v>
      </c>
      <c r="Q122" s="34">
        <f t="shared" si="5"/>
        <v>0.14549056603773586</v>
      </c>
      <c r="R122" s="35" t="str">
        <f t="shared" si="6"/>
        <v/>
      </c>
      <c r="S122" s="32" t="str">
        <f>IF(AND(L122&gt;=INDEX(Succès!$D$10:$D$13,MATCH(A122,Succès!$A$10:$A$13,0)),P122&gt;=INDEX(Succès!$E$10:$E$13,MATCH(A122,Succès!$A$10:$A$13,0))),"Succès complet",IF(P122&gt;=INDEX(Succès!$E$10:$E$13,MATCH(A122,Succès!$A$10:$A$13,0)),"Engagé, portée modeste",IF(L122&gt;=INDEX(Succès!$D$10:$D$13,MATCH(A122,Succès!$A$10:$A$13,0)),"Portée sans engagement","Standard")))</f>
        <v>Standard</v>
      </c>
      <c r="T122" s="32">
        <f t="shared" si="7"/>
        <v>0</v>
      </c>
    </row>
    <row r="123" spans="1:20">
      <c r="A123" s="32" t="s">
        <v>43</v>
      </c>
      <c r="B123" s="32" t="s">
        <v>546</v>
      </c>
      <c r="C123" s="32" t="s">
        <v>547</v>
      </c>
      <c r="D123" s="32"/>
      <c r="E123" s="32" t="s">
        <v>93</v>
      </c>
      <c r="F123" s="32" t="s">
        <v>505</v>
      </c>
      <c r="G123" s="33"/>
      <c r="H123" s="32">
        <v>27</v>
      </c>
      <c r="I123" s="32">
        <v>2</v>
      </c>
      <c r="J123" s="32">
        <v>72</v>
      </c>
      <c r="K123" s="32">
        <v>0</v>
      </c>
      <c r="L123" s="33">
        <v>27800000</v>
      </c>
      <c r="M123" s="33">
        <v>5000000</v>
      </c>
      <c r="N123" s="33">
        <v>25000</v>
      </c>
      <c r="O123" s="33">
        <v>21700</v>
      </c>
      <c r="P123" s="34">
        <f t="shared" si="4"/>
        <v>0.18153597122302159</v>
      </c>
      <c r="Q123" s="34">
        <f t="shared" si="5"/>
        <v>0.17985611510791366</v>
      </c>
      <c r="R123" s="35" t="str">
        <f t="shared" si="6"/>
        <v/>
      </c>
      <c r="S123" s="32" t="str">
        <f>IF(AND(L123&gt;=INDEX(Succès!$D$10:$D$13,MATCH(A123,Succès!$A$10:$A$13,0)),P123&gt;=INDEX(Succès!$E$10:$E$13,MATCH(A123,Succès!$A$10:$A$13,0))),"Succès complet",IF(P123&gt;=INDEX(Succès!$E$10:$E$13,MATCH(A123,Succès!$A$10:$A$13,0)),"Engagé, portée modeste",IF(L123&gt;=INDEX(Succès!$D$10:$D$13,MATCH(A123,Succès!$A$10:$A$13,0)),"Portée sans engagement","Standard")))</f>
        <v>Portée sans engagement</v>
      </c>
      <c r="T123" s="32">
        <f t="shared" si="7"/>
        <v>0</v>
      </c>
    </row>
    <row r="124" spans="1:20">
      <c r="A124" s="32" t="s">
        <v>43</v>
      </c>
      <c r="B124" s="32" t="s">
        <v>548</v>
      </c>
      <c r="C124" s="32" t="s">
        <v>549</v>
      </c>
      <c r="D124" s="32"/>
      <c r="E124" s="32" t="s">
        <v>93</v>
      </c>
      <c r="F124" s="32" t="s">
        <v>505</v>
      </c>
      <c r="G124" s="33"/>
      <c r="H124" s="32">
        <v>17</v>
      </c>
      <c r="I124" s="32">
        <v>0</v>
      </c>
      <c r="J124" s="32">
        <v>35</v>
      </c>
      <c r="K124" s="32">
        <v>0</v>
      </c>
      <c r="L124" s="33">
        <v>14400000</v>
      </c>
      <c r="M124" s="33">
        <v>3400000</v>
      </c>
      <c r="N124" s="33">
        <v>36000</v>
      </c>
      <c r="O124" s="33">
        <v>30900</v>
      </c>
      <c r="P124" s="34">
        <f t="shared" si="4"/>
        <v>0.24075694444444445</v>
      </c>
      <c r="Q124" s="34">
        <f t="shared" si="5"/>
        <v>0.2361111111111111</v>
      </c>
      <c r="R124" s="35" t="str">
        <f t="shared" si="6"/>
        <v/>
      </c>
      <c r="S124" s="32" t="str">
        <f>IF(AND(L124&gt;=INDEX(Succès!$D$10:$D$13,MATCH(A124,Succès!$A$10:$A$13,0)),P124&gt;=INDEX(Succès!$E$10:$E$13,MATCH(A124,Succès!$A$10:$A$13,0))),"Succès complet",IF(P124&gt;=INDEX(Succès!$E$10:$E$13,MATCH(A124,Succès!$A$10:$A$13,0)),"Engagé, portée modeste",IF(L124&gt;=INDEX(Succès!$D$10:$D$13,MATCH(A124,Succès!$A$10:$A$13,0)),"Portée sans engagement","Standard")))</f>
        <v>Succès complet</v>
      </c>
      <c r="T124" s="32">
        <f t="shared" si="7"/>
        <v>1</v>
      </c>
    </row>
    <row r="125" spans="1:20">
      <c r="A125" s="32" t="s">
        <v>43</v>
      </c>
      <c r="B125" s="32" t="s">
        <v>550</v>
      </c>
      <c r="C125" s="32" t="s">
        <v>551</v>
      </c>
      <c r="D125" s="32"/>
      <c r="E125" s="32" t="s">
        <v>93</v>
      </c>
      <c r="F125" s="32" t="s">
        <v>505</v>
      </c>
      <c r="G125" s="33"/>
      <c r="H125" s="32">
        <v>9</v>
      </c>
      <c r="I125" s="32">
        <v>3</v>
      </c>
      <c r="J125" s="32">
        <v>104</v>
      </c>
      <c r="K125" s="32">
        <v>0</v>
      </c>
      <c r="L125" s="33">
        <v>2000000</v>
      </c>
      <c r="M125" s="33">
        <v>323700</v>
      </c>
      <c r="N125" s="33">
        <v>2103</v>
      </c>
      <c r="O125" s="33">
        <v>1932</v>
      </c>
      <c r="P125" s="34">
        <f t="shared" si="4"/>
        <v>0.1638675</v>
      </c>
      <c r="Q125" s="34">
        <f t="shared" si="5"/>
        <v>0.16184999999999999</v>
      </c>
      <c r="R125" s="35" t="str">
        <f t="shared" si="6"/>
        <v/>
      </c>
      <c r="S125" s="32" t="str">
        <f>IF(AND(L125&gt;=INDEX(Succès!$D$10:$D$13,MATCH(A125,Succès!$A$10:$A$13,0)),P125&gt;=INDEX(Succès!$E$10:$E$13,MATCH(A125,Succès!$A$10:$A$13,0))),"Succès complet",IF(P125&gt;=INDEX(Succès!$E$10:$E$13,MATCH(A125,Succès!$A$10:$A$13,0)),"Engagé, portée modeste",IF(L125&gt;=INDEX(Succès!$D$10:$D$13,MATCH(A125,Succès!$A$10:$A$13,0)),"Portée sans engagement","Standard")))</f>
        <v>Standard</v>
      </c>
      <c r="T125" s="32">
        <f t="shared" si="7"/>
        <v>0</v>
      </c>
    </row>
    <row r="126" spans="1:20">
      <c r="A126" s="32" t="s">
        <v>43</v>
      </c>
      <c r="B126" s="32" t="s">
        <v>552</v>
      </c>
      <c r="C126" s="32" t="s">
        <v>553</v>
      </c>
      <c r="D126" s="32"/>
      <c r="E126" s="32" t="s">
        <v>93</v>
      </c>
      <c r="F126" s="32" t="s">
        <v>505</v>
      </c>
      <c r="G126" s="33"/>
      <c r="H126" s="32">
        <v>14</v>
      </c>
      <c r="I126" s="32">
        <v>2</v>
      </c>
      <c r="J126" s="32">
        <v>68</v>
      </c>
      <c r="K126" s="32">
        <v>1</v>
      </c>
      <c r="L126" s="33">
        <v>4700000</v>
      </c>
      <c r="M126" s="33">
        <v>1300000</v>
      </c>
      <c r="N126" s="33">
        <v>27400</v>
      </c>
      <c r="O126" s="33">
        <v>25000</v>
      </c>
      <c r="P126" s="34">
        <f t="shared" si="4"/>
        <v>0.28774468085106381</v>
      </c>
      <c r="Q126" s="34">
        <f t="shared" si="5"/>
        <v>0.27659574468085107</v>
      </c>
      <c r="R126" s="35" t="str">
        <f t="shared" si="6"/>
        <v/>
      </c>
      <c r="S126" s="32" t="str">
        <f>IF(AND(L126&gt;=INDEX(Succès!$D$10:$D$13,MATCH(A126,Succès!$A$10:$A$13,0)),P126&gt;=INDEX(Succès!$E$10:$E$13,MATCH(A126,Succès!$A$10:$A$13,0))),"Succès complet",IF(P126&gt;=INDEX(Succès!$E$10:$E$13,MATCH(A126,Succès!$A$10:$A$13,0)),"Engagé, portée modeste",IF(L126&gt;=INDEX(Succès!$D$10:$D$13,MATCH(A126,Succès!$A$10:$A$13,0)),"Portée sans engagement","Standard")))</f>
        <v>Engagé, portée modeste</v>
      </c>
      <c r="T126" s="32">
        <f t="shared" si="7"/>
        <v>0</v>
      </c>
    </row>
    <row r="127" spans="1:20">
      <c r="A127" s="32" t="s">
        <v>43</v>
      </c>
      <c r="B127" s="32" t="s">
        <v>554</v>
      </c>
      <c r="C127" s="32" t="s">
        <v>555</v>
      </c>
      <c r="D127" s="32"/>
      <c r="E127" s="32" t="s">
        <v>93</v>
      </c>
      <c r="F127" s="32" t="s">
        <v>505</v>
      </c>
      <c r="G127" s="33"/>
      <c r="H127" s="32">
        <v>38</v>
      </c>
      <c r="I127" s="32">
        <v>0</v>
      </c>
      <c r="J127" s="32">
        <v>48</v>
      </c>
      <c r="K127" s="32">
        <v>0</v>
      </c>
      <c r="L127" s="33">
        <v>6500000</v>
      </c>
      <c r="M127" s="33">
        <v>1400000</v>
      </c>
      <c r="N127" s="33">
        <v>14900</v>
      </c>
      <c r="O127" s="33">
        <v>16700</v>
      </c>
      <c r="P127" s="34">
        <f t="shared" si="4"/>
        <v>0.22024615384615384</v>
      </c>
      <c r="Q127" s="34">
        <f t="shared" si="5"/>
        <v>0.2153846153846154</v>
      </c>
      <c r="R127" s="35" t="str">
        <f t="shared" si="6"/>
        <v/>
      </c>
      <c r="S127" s="32" t="str">
        <f>IF(AND(L127&gt;=INDEX(Succès!$D$10:$D$13,MATCH(A127,Succès!$A$10:$A$13,0)),P127&gt;=INDEX(Succès!$E$10:$E$13,MATCH(A127,Succès!$A$10:$A$13,0))),"Succès complet",IF(P127&gt;=INDEX(Succès!$E$10:$E$13,MATCH(A127,Succès!$A$10:$A$13,0)),"Engagé, portée modeste",IF(L127&gt;=INDEX(Succès!$D$10:$D$13,MATCH(A127,Succès!$A$10:$A$13,0)),"Portée sans engagement","Standard")))</f>
        <v>Succès complet</v>
      </c>
      <c r="T127" s="32">
        <f t="shared" si="7"/>
        <v>1</v>
      </c>
    </row>
    <row r="128" spans="1:20">
      <c r="A128" s="32" t="s">
        <v>43</v>
      </c>
      <c r="B128" s="32" t="s">
        <v>556</v>
      </c>
      <c r="C128" s="32" t="s">
        <v>557</v>
      </c>
      <c r="D128" s="32"/>
      <c r="E128" s="32" t="s">
        <v>93</v>
      </c>
      <c r="F128" s="32" t="s">
        <v>505</v>
      </c>
      <c r="G128" s="33"/>
      <c r="H128" s="32">
        <v>23</v>
      </c>
      <c r="I128" s="32">
        <v>2</v>
      </c>
      <c r="J128" s="32">
        <v>117</v>
      </c>
      <c r="K128" s="32">
        <v>0</v>
      </c>
      <c r="L128" s="33">
        <v>7500000</v>
      </c>
      <c r="M128" s="33">
        <v>897700</v>
      </c>
      <c r="N128" s="33">
        <v>30100</v>
      </c>
      <c r="O128" s="33">
        <v>5822</v>
      </c>
      <c r="P128" s="34">
        <f t="shared" si="4"/>
        <v>0.12448293333333334</v>
      </c>
      <c r="Q128" s="34">
        <f t="shared" si="5"/>
        <v>0.11969333333333333</v>
      </c>
      <c r="R128" s="35" t="str">
        <f t="shared" si="6"/>
        <v/>
      </c>
      <c r="S128" s="32" t="str">
        <f>IF(AND(L128&gt;=INDEX(Succès!$D$10:$D$13,MATCH(A128,Succès!$A$10:$A$13,0)),P128&gt;=INDEX(Succès!$E$10:$E$13,MATCH(A128,Succès!$A$10:$A$13,0))),"Succès complet",IF(P128&gt;=INDEX(Succès!$E$10:$E$13,MATCH(A128,Succès!$A$10:$A$13,0)),"Engagé, portée modeste",IF(L128&gt;=INDEX(Succès!$D$10:$D$13,MATCH(A128,Succès!$A$10:$A$13,0)),"Portée sans engagement","Standard")))</f>
        <v>Portée sans engagement</v>
      </c>
      <c r="T128" s="32">
        <f t="shared" si="7"/>
        <v>0</v>
      </c>
    </row>
    <row r="129" spans="1:20">
      <c r="A129" s="32" t="s">
        <v>43</v>
      </c>
      <c r="B129" s="32" t="s">
        <v>558</v>
      </c>
      <c r="C129" s="32" t="s">
        <v>513</v>
      </c>
      <c r="D129" s="32"/>
      <c r="E129" s="32" t="s">
        <v>93</v>
      </c>
      <c r="F129" s="32" t="s">
        <v>505</v>
      </c>
      <c r="G129" s="33"/>
      <c r="H129" s="32">
        <v>10</v>
      </c>
      <c r="I129" s="32">
        <v>0</v>
      </c>
      <c r="J129" s="32">
        <v>37</v>
      </c>
      <c r="K129" s="32">
        <v>0</v>
      </c>
      <c r="L129" s="33">
        <v>141700000</v>
      </c>
      <c r="M129" s="33">
        <v>21000000</v>
      </c>
      <c r="N129" s="33">
        <v>186700</v>
      </c>
      <c r="O129" s="33">
        <v>1900000</v>
      </c>
      <c r="P129" s="34">
        <f t="shared" si="4"/>
        <v>0.16292660550458715</v>
      </c>
      <c r="Q129" s="34">
        <f t="shared" si="5"/>
        <v>0.14820042342978124</v>
      </c>
      <c r="R129" s="35" t="str">
        <f t="shared" si="6"/>
        <v/>
      </c>
      <c r="S129" s="32" t="str">
        <f>IF(AND(L129&gt;=INDEX(Succès!$D$10:$D$13,MATCH(A129,Succès!$A$10:$A$13,0)),P129&gt;=INDEX(Succès!$E$10:$E$13,MATCH(A129,Succès!$A$10:$A$13,0))),"Succès complet",IF(P129&gt;=INDEX(Succès!$E$10:$E$13,MATCH(A129,Succès!$A$10:$A$13,0)),"Engagé, portée modeste",IF(L129&gt;=INDEX(Succès!$D$10:$D$13,MATCH(A129,Succès!$A$10:$A$13,0)),"Portée sans engagement","Standard")))</f>
        <v>Portée sans engagement</v>
      </c>
      <c r="T129" s="32">
        <f t="shared" si="7"/>
        <v>0</v>
      </c>
    </row>
    <row r="130" spans="1:20">
      <c r="A130" s="32" t="s">
        <v>43</v>
      </c>
      <c r="B130" s="32" t="s">
        <v>559</v>
      </c>
      <c r="C130" s="32" t="s">
        <v>560</v>
      </c>
      <c r="D130" s="32"/>
      <c r="E130" s="32" t="s">
        <v>93</v>
      </c>
      <c r="F130" s="32" t="s">
        <v>505</v>
      </c>
      <c r="G130" s="33"/>
      <c r="H130" s="32">
        <v>41</v>
      </c>
      <c r="I130" s="32">
        <v>16</v>
      </c>
      <c r="J130" s="32">
        <v>149</v>
      </c>
      <c r="K130" s="32">
        <v>0</v>
      </c>
      <c r="L130" s="33">
        <v>26000000</v>
      </c>
      <c r="M130" s="33">
        <v>3200000</v>
      </c>
      <c r="N130" s="33">
        <v>40900</v>
      </c>
      <c r="O130" s="33">
        <v>146900</v>
      </c>
      <c r="P130" s="34">
        <f t="shared" ref="P130:P193" si="8">(M130+N130+O130)/L130</f>
        <v>0.1303</v>
      </c>
      <c r="Q130" s="34">
        <f t="shared" ref="Q130:Q193" si="9">M130/L130</f>
        <v>0.12307692307692308</v>
      </c>
      <c r="R130" s="35" t="str">
        <f t="shared" ref="R130:R193" si="10">IF(G130="","",L130/G130)</f>
        <v/>
      </c>
      <c r="S130" s="32" t="str">
        <f>IF(AND(L130&gt;=INDEX(Succès!$D$10:$D$13,MATCH(A130,Succès!$A$10:$A$13,0)),P130&gt;=INDEX(Succès!$E$10:$E$13,MATCH(A130,Succès!$A$10:$A$13,0))),"Succès complet",IF(P130&gt;=INDEX(Succès!$E$10:$E$13,MATCH(A130,Succès!$A$10:$A$13,0)),"Engagé, portée modeste",IF(L130&gt;=INDEX(Succès!$D$10:$D$13,MATCH(A130,Succès!$A$10:$A$13,0)),"Portée sans engagement","Standard")))</f>
        <v>Portée sans engagement</v>
      </c>
      <c r="T130" s="32">
        <f t="shared" ref="T130:T193" si="11">IF(S130="Succès complet",1,0)</f>
        <v>0</v>
      </c>
    </row>
    <row r="131" spans="1:20">
      <c r="A131" s="32" t="s">
        <v>43</v>
      </c>
      <c r="B131" s="32" t="s">
        <v>561</v>
      </c>
      <c r="C131" s="32" t="s">
        <v>562</v>
      </c>
      <c r="D131" s="32"/>
      <c r="E131" s="32" t="s">
        <v>93</v>
      </c>
      <c r="F131" s="32" t="s">
        <v>505</v>
      </c>
      <c r="G131" s="33"/>
      <c r="H131" s="32">
        <v>10</v>
      </c>
      <c r="I131" s="32">
        <v>3</v>
      </c>
      <c r="J131" s="32">
        <v>88</v>
      </c>
      <c r="K131" s="32">
        <v>0</v>
      </c>
      <c r="L131" s="33">
        <v>180600</v>
      </c>
      <c r="M131" s="33">
        <v>19900</v>
      </c>
      <c r="N131" s="33">
        <v>1344</v>
      </c>
      <c r="O131" s="33">
        <v>367</v>
      </c>
      <c r="P131" s="34">
        <f t="shared" si="8"/>
        <v>0.11966223698781839</v>
      </c>
      <c r="Q131" s="34">
        <f t="shared" si="9"/>
        <v>0.11018826135105204</v>
      </c>
      <c r="R131" s="35" t="str">
        <f t="shared" si="10"/>
        <v/>
      </c>
      <c r="S131" s="32" t="str">
        <f>IF(AND(L131&gt;=INDEX(Succès!$D$10:$D$13,MATCH(A131,Succès!$A$10:$A$13,0)),P131&gt;=INDEX(Succès!$E$10:$E$13,MATCH(A131,Succès!$A$10:$A$13,0))),"Succès complet",IF(P131&gt;=INDEX(Succès!$E$10:$E$13,MATCH(A131,Succès!$A$10:$A$13,0)),"Engagé, portée modeste",IF(L131&gt;=INDEX(Succès!$D$10:$D$13,MATCH(A131,Succès!$A$10:$A$13,0)),"Portée sans engagement","Standard")))</f>
        <v>Standard</v>
      </c>
      <c r="T131" s="32">
        <f t="shared" si="11"/>
        <v>0</v>
      </c>
    </row>
    <row r="132" spans="1:20">
      <c r="A132" s="32" t="s">
        <v>43</v>
      </c>
      <c r="B132" s="32" t="s">
        <v>563</v>
      </c>
      <c r="C132" s="32" t="s">
        <v>564</v>
      </c>
      <c r="D132" s="32"/>
      <c r="E132" s="32" t="s">
        <v>93</v>
      </c>
      <c r="F132" s="32" t="s">
        <v>505</v>
      </c>
      <c r="G132" s="33"/>
      <c r="H132" s="32">
        <v>59</v>
      </c>
      <c r="I132" s="32">
        <v>5</v>
      </c>
      <c r="J132" s="32">
        <v>118</v>
      </c>
      <c r="K132" s="32">
        <v>1</v>
      </c>
      <c r="L132" s="33">
        <v>198900</v>
      </c>
      <c r="M132" s="33">
        <v>26600</v>
      </c>
      <c r="N132" s="33">
        <v>615</v>
      </c>
      <c r="O132" s="33">
        <v>400</v>
      </c>
      <c r="P132" s="34">
        <f t="shared" si="8"/>
        <v>0.13883861236802414</v>
      </c>
      <c r="Q132" s="34">
        <f t="shared" si="9"/>
        <v>0.13373554550025138</v>
      </c>
      <c r="R132" s="35" t="str">
        <f t="shared" si="10"/>
        <v/>
      </c>
      <c r="S132" s="32" t="str">
        <f>IF(AND(L132&gt;=INDEX(Succès!$D$10:$D$13,MATCH(A132,Succès!$A$10:$A$13,0)),P132&gt;=INDEX(Succès!$E$10:$E$13,MATCH(A132,Succès!$A$10:$A$13,0))),"Succès complet",IF(P132&gt;=INDEX(Succès!$E$10:$E$13,MATCH(A132,Succès!$A$10:$A$13,0)),"Engagé, portée modeste",IF(L132&gt;=INDEX(Succès!$D$10:$D$13,MATCH(A132,Succès!$A$10:$A$13,0)),"Portée sans engagement","Standard")))</f>
        <v>Standard</v>
      </c>
      <c r="T132" s="32">
        <f t="shared" si="11"/>
        <v>0</v>
      </c>
    </row>
    <row r="133" spans="1:20">
      <c r="A133" s="32" t="s">
        <v>43</v>
      </c>
      <c r="B133" s="32" t="s">
        <v>565</v>
      </c>
      <c r="C133" s="32" t="s">
        <v>566</v>
      </c>
      <c r="D133" s="32"/>
      <c r="E133" s="32" t="s">
        <v>93</v>
      </c>
      <c r="F133" s="32" t="s">
        <v>505</v>
      </c>
      <c r="G133" s="33"/>
      <c r="H133" s="32">
        <v>21</v>
      </c>
      <c r="I133" s="32">
        <v>1</v>
      </c>
      <c r="J133" s="32">
        <v>23</v>
      </c>
      <c r="K133" s="32">
        <v>0</v>
      </c>
      <c r="L133" s="33">
        <v>150400</v>
      </c>
      <c r="M133" s="33">
        <v>12100</v>
      </c>
      <c r="N133" s="33">
        <v>882</v>
      </c>
      <c r="O133" s="33">
        <v>74</v>
      </c>
      <c r="P133" s="34">
        <f t="shared" si="8"/>
        <v>8.6808510638297878E-2</v>
      </c>
      <c r="Q133" s="34">
        <f t="shared" si="9"/>
        <v>8.0452127659574463E-2</v>
      </c>
      <c r="R133" s="35" t="str">
        <f t="shared" si="10"/>
        <v/>
      </c>
      <c r="S133" s="32" t="str">
        <f>IF(AND(L133&gt;=INDEX(Succès!$D$10:$D$13,MATCH(A133,Succès!$A$10:$A$13,0)),P133&gt;=INDEX(Succès!$E$10:$E$13,MATCH(A133,Succès!$A$10:$A$13,0))),"Succès complet",IF(P133&gt;=INDEX(Succès!$E$10:$E$13,MATCH(A133,Succès!$A$10:$A$13,0)),"Engagé, portée modeste",IF(L133&gt;=INDEX(Succès!$D$10:$D$13,MATCH(A133,Succès!$A$10:$A$13,0)),"Portée sans engagement","Standard")))</f>
        <v>Standard</v>
      </c>
      <c r="T133" s="32">
        <f t="shared" si="11"/>
        <v>0</v>
      </c>
    </row>
    <row r="134" spans="1:20">
      <c r="A134" s="32" t="s">
        <v>43</v>
      </c>
      <c r="B134" s="32" t="s">
        <v>567</v>
      </c>
      <c r="C134" s="32" t="s">
        <v>568</v>
      </c>
      <c r="D134" s="32"/>
      <c r="E134" s="32" t="s">
        <v>93</v>
      </c>
      <c r="F134" s="32" t="s">
        <v>505</v>
      </c>
      <c r="G134" s="33"/>
      <c r="H134" s="32">
        <v>15</v>
      </c>
      <c r="I134" s="32">
        <v>2</v>
      </c>
      <c r="J134" s="32">
        <v>103</v>
      </c>
      <c r="K134" s="32">
        <v>0</v>
      </c>
      <c r="L134" s="33">
        <v>453300</v>
      </c>
      <c r="M134" s="33">
        <v>4159</v>
      </c>
      <c r="N134" s="33">
        <v>68</v>
      </c>
      <c r="O134" s="33">
        <v>30</v>
      </c>
      <c r="P134" s="34">
        <f t="shared" si="8"/>
        <v>9.3911317008603581E-3</v>
      </c>
      <c r="Q134" s="34">
        <f t="shared" si="9"/>
        <v>9.1749393337745427E-3</v>
      </c>
      <c r="R134" s="35" t="str">
        <f t="shared" si="10"/>
        <v/>
      </c>
      <c r="S134" s="32" t="str">
        <f>IF(AND(L134&gt;=INDEX(Succès!$D$10:$D$13,MATCH(A134,Succès!$A$10:$A$13,0)),P134&gt;=INDEX(Succès!$E$10:$E$13,MATCH(A134,Succès!$A$10:$A$13,0))),"Succès complet",IF(P134&gt;=INDEX(Succès!$E$10:$E$13,MATCH(A134,Succès!$A$10:$A$13,0)),"Engagé, portée modeste",IF(L134&gt;=INDEX(Succès!$D$10:$D$13,MATCH(A134,Succès!$A$10:$A$13,0)),"Portée sans engagement","Standard")))</f>
        <v>Standard</v>
      </c>
      <c r="T134" s="32">
        <f t="shared" si="11"/>
        <v>0</v>
      </c>
    </row>
    <row r="135" spans="1:20">
      <c r="A135" s="32" t="s">
        <v>43</v>
      </c>
      <c r="B135" s="32" t="s">
        <v>569</v>
      </c>
      <c r="C135" s="32" t="s">
        <v>570</v>
      </c>
      <c r="D135" s="32"/>
      <c r="E135" s="32" t="s">
        <v>93</v>
      </c>
      <c r="F135" s="32" t="s">
        <v>505</v>
      </c>
      <c r="G135" s="33"/>
      <c r="H135" s="32">
        <v>38</v>
      </c>
      <c r="I135" s="32">
        <v>0</v>
      </c>
      <c r="J135" s="32">
        <v>56</v>
      </c>
      <c r="K135" s="32">
        <v>0</v>
      </c>
      <c r="L135" s="33">
        <v>425000</v>
      </c>
      <c r="M135" s="33">
        <v>43400</v>
      </c>
      <c r="N135" s="33">
        <v>1783</v>
      </c>
      <c r="O135" s="33">
        <v>4180</v>
      </c>
      <c r="P135" s="34">
        <f t="shared" si="8"/>
        <v>0.11614823529411765</v>
      </c>
      <c r="Q135" s="34">
        <f t="shared" si="9"/>
        <v>0.10211764705882354</v>
      </c>
      <c r="R135" s="35" t="str">
        <f t="shared" si="10"/>
        <v/>
      </c>
      <c r="S135" s="32" t="str">
        <f>IF(AND(L135&gt;=INDEX(Succès!$D$10:$D$13,MATCH(A135,Succès!$A$10:$A$13,0)),P135&gt;=INDEX(Succès!$E$10:$E$13,MATCH(A135,Succès!$A$10:$A$13,0))),"Succès complet",IF(P135&gt;=INDEX(Succès!$E$10:$E$13,MATCH(A135,Succès!$A$10:$A$13,0)),"Engagé, portée modeste",IF(L135&gt;=INDEX(Succès!$D$10:$D$13,MATCH(A135,Succès!$A$10:$A$13,0)),"Portée sans engagement","Standard")))</f>
        <v>Standard</v>
      </c>
      <c r="T135" s="32">
        <f t="shared" si="11"/>
        <v>0</v>
      </c>
    </row>
    <row r="136" spans="1:20">
      <c r="A136" s="32" t="s">
        <v>43</v>
      </c>
      <c r="B136" s="32" t="s">
        <v>571</v>
      </c>
      <c r="C136" s="32" t="s">
        <v>572</v>
      </c>
      <c r="D136" s="32"/>
      <c r="E136" s="32" t="s">
        <v>93</v>
      </c>
      <c r="F136" s="32" t="s">
        <v>505</v>
      </c>
      <c r="G136" s="33"/>
      <c r="H136" s="32">
        <v>30</v>
      </c>
      <c r="I136" s="32">
        <v>2</v>
      </c>
      <c r="J136" s="32">
        <v>95</v>
      </c>
      <c r="K136" s="32">
        <v>1</v>
      </c>
      <c r="L136" s="33">
        <v>523900</v>
      </c>
      <c r="M136" s="33">
        <v>17300</v>
      </c>
      <c r="N136" s="33">
        <v>260</v>
      </c>
      <c r="O136" s="33">
        <v>187</v>
      </c>
      <c r="P136" s="34">
        <f t="shared" si="8"/>
        <v>3.3874785264363431E-2</v>
      </c>
      <c r="Q136" s="34">
        <f t="shared" si="9"/>
        <v>3.3021569001717883E-2</v>
      </c>
      <c r="R136" s="35" t="str">
        <f t="shared" si="10"/>
        <v/>
      </c>
      <c r="S136" s="32" t="str">
        <f>IF(AND(L136&gt;=INDEX(Succès!$D$10:$D$13,MATCH(A136,Succès!$A$10:$A$13,0)),P136&gt;=INDEX(Succès!$E$10:$E$13,MATCH(A136,Succès!$A$10:$A$13,0))),"Succès complet",IF(P136&gt;=INDEX(Succès!$E$10:$E$13,MATCH(A136,Succès!$A$10:$A$13,0)),"Engagé, portée modeste",IF(L136&gt;=INDEX(Succès!$D$10:$D$13,MATCH(A136,Succès!$A$10:$A$13,0)),"Portée sans engagement","Standard")))</f>
        <v>Standard</v>
      </c>
      <c r="T136" s="32">
        <f t="shared" si="11"/>
        <v>0</v>
      </c>
    </row>
    <row r="137" spans="1:20">
      <c r="A137" s="32" t="s">
        <v>43</v>
      </c>
      <c r="B137" s="32" t="s">
        <v>573</v>
      </c>
      <c r="C137" s="32" t="s">
        <v>574</v>
      </c>
      <c r="D137" s="32"/>
      <c r="E137" s="32" t="s">
        <v>93</v>
      </c>
      <c r="F137" s="32" t="s">
        <v>505</v>
      </c>
      <c r="G137" s="33"/>
      <c r="H137" s="32">
        <v>11</v>
      </c>
      <c r="I137" s="32">
        <v>0</v>
      </c>
      <c r="J137" s="32">
        <v>46</v>
      </c>
      <c r="K137" s="32">
        <v>0</v>
      </c>
      <c r="L137" s="33">
        <v>3000000</v>
      </c>
      <c r="M137" s="33">
        <v>321800</v>
      </c>
      <c r="N137" s="33">
        <v>2988</v>
      </c>
      <c r="O137" s="33">
        <v>2041</v>
      </c>
      <c r="P137" s="34">
        <f t="shared" si="8"/>
        <v>0.108943</v>
      </c>
      <c r="Q137" s="34">
        <f t="shared" si="9"/>
        <v>0.10726666666666666</v>
      </c>
      <c r="R137" s="35" t="str">
        <f t="shared" si="10"/>
        <v/>
      </c>
      <c r="S137" s="32" t="str">
        <f>IF(AND(L137&gt;=INDEX(Succès!$D$10:$D$13,MATCH(A137,Succès!$A$10:$A$13,0)),P137&gt;=INDEX(Succès!$E$10:$E$13,MATCH(A137,Succès!$A$10:$A$13,0))),"Succès complet",IF(P137&gt;=INDEX(Succès!$E$10:$E$13,MATCH(A137,Succès!$A$10:$A$13,0)),"Engagé, portée modeste",IF(L137&gt;=INDEX(Succès!$D$10:$D$13,MATCH(A137,Succès!$A$10:$A$13,0)),"Portée sans engagement","Standard")))</f>
        <v>Standard</v>
      </c>
      <c r="T137" s="32">
        <f t="shared" si="11"/>
        <v>0</v>
      </c>
    </row>
    <row r="138" spans="1:20">
      <c r="A138" s="32" t="s">
        <v>43</v>
      </c>
      <c r="B138" s="32" t="s">
        <v>575</v>
      </c>
      <c r="C138" s="32" t="s">
        <v>576</v>
      </c>
      <c r="D138" s="32"/>
      <c r="E138" s="32" t="s">
        <v>93</v>
      </c>
      <c r="F138" s="32" t="s">
        <v>505</v>
      </c>
      <c r="G138" s="33"/>
      <c r="H138" s="32">
        <v>14</v>
      </c>
      <c r="I138" s="32">
        <v>0</v>
      </c>
      <c r="J138" s="32">
        <v>36</v>
      </c>
      <c r="K138" s="32">
        <v>0</v>
      </c>
      <c r="L138" s="33">
        <v>12300000</v>
      </c>
      <c r="M138" s="33">
        <v>1200000</v>
      </c>
      <c r="N138" s="33">
        <v>11400</v>
      </c>
      <c r="O138" s="33">
        <v>5580</v>
      </c>
      <c r="P138" s="34">
        <f t="shared" si="8"/>
        <v>9.894146341463414E-2</v>
      </c>
      <c r="Q138" s="34">
        <f t="shared" si="9"/>
        <v>9.7560975609756101E-2</v>
      </c>
      <c r="R138" s="35" t="str">
        <f t="shared" si="10"/>
        <v/>
      </c>
      <c r="S138" s="32" t="str">
        <f>IF(AND(L138&gt;=INDEX(Succès!$D$10:$D$13,MATCH(A138,Succès!$A$10:$A$13,0)),P138&gt;=INDEX(Succès!$E$10:$E$13,MATCH(A138,Succès!$A$10:$A$13,0))),"Succès complet",IF(P138&gt;=INDEX(Succès!$E$10:$E$13,MATCH(A138,Succès!$A$10:$A$13,0)),"Engagé, portée modeste",IF(L138&gt;=INDEX(Succès!$D$10:$D$13,MATCH(A138,Succès!$A$10:$A$13,0)),"Portée sans engagement","Standard")))</f>
        <v>Portée sans engagement</v>
      </c>
      <c r="T138" s="32">
        <f t="shared" si="11"/>
        <v>0</v>
      </c>
    </row>
    <row r="139" spans="1:20">
      <c r="A139" s="32" t="s">
        <v>43</v>
      </c>
      <c r="B139" s="32" t="s">
        <v>577</v>
      </c>
      <c r="C139" s="32" t="s">
        <v>576</v>
      </c>
      <c r="D139" s="32"/>
      <c r="E139" s="32" t="s">
        <v>93</v>
      </c>
      <c r="F139" s="32" t="s">
        <v>505</v>
      </c>
      <c r="G139" s="33"/>
      <c r="H139" s="32">
        <v>14</v>
      </c>
      <c r="I139" s="32">
        <v>0</v>
      </c>
      <c r="J139" s="32">
        <v>27</v>
      </c>
      <c r="K139" s="32">
        <v>0</v>
      </c>
      <c r="L139" s="33">
        <v>9800000</v>
      </c>
      <c r="M139" s="33">
        <v>831100</v>
      </c>
      <c r="N139" s="33">
        <v>6128</v>
      </c>
      <c r="O139" s="33">
        <v>3263</v>
      </c>
      <c r="P139" s="34">
        <f t="shared" si="8"/>
        <v>8.5764387755102034E-2</v>
      </c>
      <c r="Q139" s="34">
        <f t="shared" si="9"/>
        <v>8.4806122448979587E-2</v>
      </c>
      <c r="R139" s="35" t="str">
        <f t="shared" si="10"/>
        <v/>
      </c>
      <c r="S139" s="32" t="str">
        <f>IF(AND(L139&gt;=INDEX(Succès!$D$10:$D$13,MATCH(A139,Succès!$A$10:$A$13,0)),P139&gt;=INDEX(Succès!$E$10:$E$13,MATCH(A139,Succès!$A$10:$A$13,0))),"Succès complet",IF(P139&gt;=INDEX(Succès!$E$10:$E$13,MATCH(A139,Succès!$A$10:$A$13,0)),"Engagé, portée modeste",IF(L139&gt;=INDEX(Succès!$D$10:$D$13,MATCH(A139,Succès!$A$10:$A$13,0)),"Portée sans engagement","Standard")))</f>
        <v>Portée sans engagement</v>
      </c>
      <c r="T139" s="32">
        <f t="shared" si="11"/>
        <v>0</v>
      </c>
    </row>
    <row r="140" spans="1:20">
      <c r="A140" s="32" t="s">
        <v>43</v>
      </c>
      <c r="B140" s="32" t="s">
        <v>578</v>
      </c>
      <c r="C140" s="32" t="s">
        <v>579</v>
      </c>
      <c r="D140" s="32"/>
      <c r="E140" s="32" t="s">
        <v>93</v>
      </c>
      <c r="F140" s="32" t="s">
        <v>505</v>
      </c>
      <c r="G140" s="33"/>
      <c r="H140" s="32">
        <v>15</v>
      </c>
      <c r="I140" s="32">
        <v>1</v>
      </c>
      <c r="J140" s="32">
        <v>149</v>
      </c>
      <c r="K140" s="32">
        <v>0</v>
      </c>
      <c r="L140" s="33">
        <v>3600000</v>
      </c>
      <c r="M140" s="33">
        <v>941200</v>
      </c>
      <c r="N140" s="33">
        <v>7391</v>
      </c>
      <c r="O140" s="33">
        <v>4361</v>
      </c>
      <c r="P140" s="34">
        <f t="shared" si="8"/>
        <v>0.26470888888888888</v>
      </c>
      <c r="Q140" s="34">
        <f t="shared" si="9"/>
        <v>0.26144444444444442</v>
      </c>
      <c r="R140" s="35" t="str">
        <f t="shared" si="10"/>
        <v/>
      </c>
      <c r="S140" s="32" t="str">
        <f>IF(AND(L140&gt;=INDEX(Succès!$D$10:$D$13,MATCH(A140,Succès!$A$10:$A$13,0)),P140&gt;=INDEX(Succès!$E$10:$E$13,MATCH(A140,Succès!$A$10:$A$13,0))),"Succès complet",IF(P140&gt;=INDEX(Succès!$E$10:$E$13,MATCH(A140,Succès!$A$10:$A$13,0)),"Engagé, portée modeste",IF(L140&gt;=INDEX(Succès!$D$10:$D$13,MATCH(A140,Succès!$A$10:$A$13,0)),"Portée sans engagement","Standard")))</f>
        <v>Engagé, portée modeste</v>
      </c>
      <c r="T140" s="32">
        <f t="shared" si="11"/>
        <v>0</v>
      </c>
    </row>
    <row r="141" spans="1:20">
      <c r="A141" s="32" t="s">
        <v>43</v>
      </c>
      <c r="B141" s="32" t="s">
        <v>580</v>
      </c>
      <c r="C141" s="32" t="s">
        <v>581</v>
      </c>
      <c r="D141" s="32"/>
      <c r="E141" s="32" t="s">
        <v>93</v>
      </c>
      <c r="F141" s="32" t="s">
        <v>505</v>
      </c>
      <c r="G141" s="33"/>
      <c r="H141" s="32">
        <v>56</v>
      </c>
      <c r="I141" s="32">
        <v>2</v>
      </c>
      <c r="J141" s="32">
        <v>96</v>
      </c>
      <c r="K141" s="32">
        <v>0</v>
      </c>
      <c r="L141" s="33">
        <v>510500</v>
      </c>
      <c r="M141" s="33">
        <v>45600</v>
      </c>
      <c r="N141" s="33">
        <v>406</v>
      </c>
      <c r="O141" s="33">
        <v>213</v>
      </c>
      <c r="P141" s="34">
        <f t="shared" si="8"/>
        <v>9.0536728697355531E-2</v>
      </c>
      <c r="Q141" s="34">
        <f t="shared" si="9"/>
        <v>8.9324191968658179E-2</v>
      </c>
      <c r="R141" s="35" t="str">
        <f t="shared" si="10"/>
        <v/>
      </c>
      <c r="S141" s="32" t="str">
        <f>IF(AND(L141&gt;=INDEX(Succès!$D$10:$D$13,MATCH(A141,Succès!$A$10:$A$13,0)),P141&gt;=INDEX(Succès!$E$10:$E$13,MATCH(A141,Succès!$A$10:$A$13,0))),"Succès complet",IF(P141&gt;=INDEX(Succès!$E$10:$E$13,MATCH(A141,Succès!$A$10:$A$13,0)),"Engagé, portée modeste",IF(L141&gt;=INDEX(Succès!$D$10:$D$13,MATCH(A141,Succès!$A$10:$A$13,0)),"Portée sans engagement","Standard")))</f>
        <v>Standard</v>
      </c>
      <c r="T141" s="32">
        <f t="shared" si="11"/>
        <v>0</v>
      </c>
    </row>
    <row r="142" spans="1:20">
      <c r="A142" s="32" t="s">
        <v>43</v>
      </c>
      <c r="B142" s="32" t="s">
        <v>582</v>
      </c>
      <c r="C142" s="32" t="s">
        <v>583</v>
      </c>
      <c r="D142" s="32"/>
      <c r="E142" s="32" t="s">
        <v>93</v>
      </c>
      <c r="F142" s="32" t="s">
        <v>505</v>
      </c>
      <c r="G142" s="33"/>
      <c r="H142" s="32">
        <v>26</v>
      </c>
      <c r="I142" s="32">
        <v>3</v>
      </c>
      <c r="J142" s="32">
        <v>104</v>
      </c>
      <c r="K142" s="32">
        <v>0</v>
      </c>
      <c r="L142" s="33">
        <v>28700</v>
      </c>
      <c r="M142" s="33">
        <v>1369</v>
      </c>
      <c r="N142" s="33">
        <v>58</v>
      </c>
      <c r="O142" s="33">
        <v>10</v>
      </c>
      <c r="P142" s="34">
        <f t="shared" si="8"/>
        <v>5.0069686411149825E-2</v>
      </c>
      <c r="Q142" s="34">
        <f t="shared" si="9"/>
        <v>4.7700348432055749E-2</v>
      </c>
      <c r="R142" s="35" t="str">
        <f t="shared" si="10"/>
        <v/>
      </c>
      <c r="S142" s="32" t="str">
        <f>IF(AND(L142&gt;=INDEX(Succès!$D$10:$D$13,MATCH(A142,Succès!$A$10:$A$13,0)),P142&gt;=INDEX(Succès!$E$10:$E$13,MATCH(A142,Succès!$A$10:$A$13,0))),"Succès complet",IF(P142&gt;=INDEX(Succès!$E$10:$E$13,MATCH(A142,Succès!$A$10:$A$13,0)),"Engagé, portée modeste",IF(L142&gt;=INDEX(Succès!$D$10:$D$13,MATCH(A142,Succès!$A$10:$A$13,0)),"Portée sans engagement","Standard")))</f>
        <v>Standard</v>
      </c>
      <c r="T142" s="32">
        <f t="shared" si="11"/>
        <v>0</v>
      </c>
    </row>
    <row r="143" spans="1:20">
      <c r="A143" s="32" t="s">
        <v>43</v>
      </c>
      <c r="B143" s="32" t="s">
        <v>584</v>
      </c>
      <c r="C143" s="32" t="s">
        <v>585</v>
      </c>
      <c r="D143" s="32"/>
      <c r="E143" s="32" t="s">
        <v>93</v>
      </c>
      <c r="F143" s="32" t="s">
        <v>505</v>
      </c>
      <c r="G143" s="33"/>
      <c r="H143" s="32">
        <v>57</v>
      </c>
      <c r="I143" s="32">
        <v>6</v>
      </c>
      <c r="J143" s="32">
        <v>93</v>
      </c>
      <c r="K143" s="32">
        <v>0</v>
      </c>
      <c r="L143" s="33">
        <v>3500000</v>
      </c>
      <c r="M143" s="33">
        <v>874100</v>
      </c>
      <c r="N143" s="33">
        <v>5257</v>
      </c>
      <c r="O143" s="33">
        <v>13000</v>
      </c>
      <c r="P143" s="34">
        <f t="shared" si="8"/>
        <v>0.25495914285714288</v>
      </c>
      <c r="Q143" s="34">
        <f t="shared" si="9"/>
        <v>0.24974285714285716</v>
      </c>
      <c r="R143" s="35" t="str">
        <f t="shared" si="10"/>
        <v/>
      </c>
      <c r="S143" s="32" t="str">
        <f>IF(AND(L143&gt;=INDEX(Succès!$D$10:$D$13,MATCH(A143,Succès!$A$10:$A$13,0)),P143&gt;=INDEX(Succès!$E$10:$E$13,MATCH(A143,Succès!$A$10:$A$13,0))),"Succès complet",IF(P143&gt;=INDEX(Succès!$E$10:$E$13,MATCH(A143,Succès!$A$10:$A$13,0)),"Engagé, portée modeste",IF(L143&gt;=INDEX(Succès!$D$10:$D$13,MATCH(A143,Succès!$A$10:$A$13,0)),"Portée sans engagement","Standard")))</f>
        <v>Engagé, portée modeste</v>
      </c>
      <c r="T143" s="32">
        <f t="shared" si="11"/>
        <v>0</v>
      </c>
    </row>
    <row r="144" spans="1:20">
      <c r="A144" s="32" t="s">
        <v>43</v>
      </c>
      <c r="B144" s="32" t="s">
        <v>586</v>
      </c>
      <c r="C144" s="32" t="s">
        <v>587</v>
      </c>
      <c r="D144" s="32"/>
      <c r="E144" s="32" t="s">
        <v>93</v>
      </c>
      <c r="F144" s="32" t="s">
        <v>505</v>
      </c>
      <c r="G144" s="33"/>
      <c r="H144" s="32">
        <v>15</v>
      </c>
      <c r="I144" s="32">
        <v>2</v>
      </c>
      <c r="J144" s="32">
        <v>148</v>
      </c>
      <c r="K144" s="32">
        <v>0</v>
      </c>
      <c r="L144" s="33">
        <v>549900</v>
      </c>
      <c r="M144" s="33">
        <v>22600</v>
      </c>
      <c r="N144" s="33">
        <v>808</v>
      </c>
      <c r="O144" s="33">
        <v>215</v>
      </c>
      <c r="P144" s="34">
        <f t="shared" si="8"/>
        <v>4.2958719767230404E-2</v>
      </c>
      <c r="Q144" s="34">
        <f t="shared" si="9"/>
        <v>4.1098381523913437E-2</v>
      </c>
      <c r="R144" s="35" t="str">
        <f t="shared" si="10"/>
        <v/>
      </c>
      <c r="S144" s="32" t="str">
        <f>IF(AND(L144&gt;=INDEX(Succès!$D$10:$D$13,MATCH(A144,Succès!$A$10:$A$13,0)),P144&gt;=INDEX(Succès!$E$10:$E$13,MATCH(A144,Succès!$A$10:$A$13,0))),"Succès complet",IF(P144&gt;=INDEX(Succès!$E$10:$E$13,MATCH(A144,Succès!$A$10:$A$13,0)),"Engagé, portée modeste",IF(L144&gt;=INDEX(Succès!$D$10:$D$13,MATCH(A144,Succès!$A$10:$A$13,0)),"Portée sans engagement","Standard")))</f>
        <v>Standard</v>
      </c>
      <c r="T144" s="32">
        <f t="shared" si="11"/>
        <v>0</v>
      </c>
    </row>
    <row r="145" spans="1:20">
      <c r="A145" s="32" t="s">
        <v>43</v>
      </c>
      <c r="B145" s="32" t="s">
        <v>588</v>
      </c>
      <c r="C145" s="32" t="s">
        <v>589</v>
      </c>
      <c r="D145" s="32"/>
      <c r="E145" s="32" t="s">
        <v>93</v>
      </c>
      <c r="F145" s="32" t="s">
        <v>505</v>
      </c>
      <c r="G145" s="33"/>
      <c r="H145" s="32">
        <v>27</v>
      </c>
      <c r="I145" s="32">
        <v>0</v>
      </c>
      <c r="J145" s="32">
        <v>0</v>
      </c>
      <c r="K145" s="32">
        <v>0</v>
      </c>
      <c r="L145" s="33">
        <v>33000000</v>
      </c>
      <c r="M145" s="33">
        <v>6600000</v>
      </c>
      <c r="N145" s="33">
        <v>152200</v>
      </c>
      <c r="O145" s="33">
        <v>272500</v>
      </c>
      <c r="P145" s="34">
        <f t="shared" si="8"/>
        <v>0.21286969696969696</v>
      </c>
      <c r="Q145" s="34">
        <f t="shared" si="9"/>
        <v>0.2</v>
      </c>
      <c r="R145" s="35" t="str">
        <f t="shared" si="10"/>
        <v/>
      </c>
      <c r="S145" s="32" t="str">
        <f>IF(AND(L145&gt;=INDEX(Succès!$D$10:$D$13,MATCH(A145,Succès!$A$10:$A$13,0)),P145&gt;=INDEX(Succès!$E$10:$E$13,MATCH(A145,Succès!$A$10:$A$13,0))),"Succès complet",IF(P145&gt;=INDEX(Succès!$E$10:$E$13,MATCH(A145,Succès!$A$10:$A$13,0)),"Engagé, portée modeste",IF(L145&gt;=INDEX(Succès!$D$10:$D$13,MATCH(A145,Succès!$A$10:$A$13,0)),"Portée sans engagement","Standard")))</f>
        <v>Succès complet</v>
      </c>
      <c r="T145" s="32">
        <f t="shared" si="11"/>
        <v>1</v>
      </c>
    </row>
    <row r="146" spans="1:20">
      <c r="A146" s="32" t="s">
        <v>43</v>
      </c>
      <c r="B146" s="32" t="s">
        <v>590</v>
      </c>
      <c r="C146" s="32" t="s">
        <v>591</v>
      </c>
      <c r="D146" s="32"/>
      <c r="E146" s="32" t="s">
        <v>93</v>
      </c>
      <c r="F146" s="32" t="s">
        <v>505</v>
      </c>
      <c r="G146" s="33"/>
      <c r="H146" s="32">
        <v>40</v>
      </c>
      <c r="I146" s="32">
        <v>5</v>
      </c>
      <c r="J146" s="32">
        <v>108</v>
      </c>
      <c r="K146" s="32">
        <v>0</v>
      </c>
      <c r="L146" s="33">
        <v>107400</v>
      </c>
      <c r="M146" s="33">
        <v>16700</v>
      </c>
      <c r="N146" s="33">
        <v>584</v>
      </c>
      <c r="O146" s="33">
        <v>335</v>
      </c>
      <c r="P146" s="34">
        <f t="shared" si="8"/>
        <v>0.16405027932960894</v>
      </c>
      <c r="Q146" s="34">
        <f t="shared" si="9"/>
        <v>0.15549348230912477</v>
      </c>
      <c r="R146" s="35" t="str">
        <f t="shared" si="10"/>
        <v/>
      </c>
      <c r="S146" s="32" t="str">
        <f>IF(AND(L146&gt;=INDEX(Succès!$D$10:$D$13,MATCH(A146,Succès!$A$10:$A$13,0)),P146&gt;=INDEX(Succès!$E$10:$E$13,MATCH(A146,Succès!$A$10:$A$13,0))),"Succès complet",IF(P146&gt;=INDEX(Succès!$E$10:$E$13,MATCH(A146,Succès!$A$10:$A$13,0)),"Engagé, portée modeste",IF(L146&gt;=INDEX(Succès!$D$10:$D$13,MATCH(A146,Succès!$A$10:$A$13,0)),"Portée sans engagement","Standard")))</f>
        <v>Standard</v>
      </c>
      <c r="T146" s="32">
        <f t="shared" si="11"/>
        <v>0</v>
      </c>
    </row>
    <row r="147" spans="1:20">
      <c r="A147" s="32" t="s">
        <v>43</v>
      </c>
      <c r="B147" s="32" t="s">
        <v>592</v>
      </c>
      <c r="C147" s="32" t="s">
        <v>519</v>
      </c>
      <c r="D147" s="32"/>
      <c r="E147" s="32" t="s">
        <v>93</v>
      </c>
      <c r="F147" s="32" t="s">
        <v>505</v>
      </c>
      <c r="G147" s="33"/>
      <c r="H147" s="32">
        <v>15</v>
      </c>
      <c r="I147" s="32">
        <v>4</v>
      </c>
      <c r="J147" s="32">
        <v>72</v>
      </c>
      <c r="K147" s="32">
        <v>0</v>
      </c>
      <c r="L147" s="33">
        <v>1800000</v>
      </c>
      <c r="M147" s="33">
        <v>275800</v>
      </c>
      <c r="N147" s="33">
        <v>5293</v>
      </c>
      <c r="O147" s="33">
        <v>10400</v>
      </c>
      <c r="P147" s="34">
        <f t="shared" si="8"/>
        <v>0.16194055555555556</v>
      </c>
      <c r="Q147" s="34">
        <f t="shared" si="9"/>
        <v>0.15322222222222223</v>
      </c>
      <c r="R147" s="35" t="str">
        <f t="shared" si="10"/>
        <v/>
      </c>
      <c r="S147" s="32" t="str">
        <f>IF(AND(L147&gt;=INDEX(Succès!$D$10:$D$13,MATCH(A147,Succès!$A$10:$A$13,0)),P147&gt;=INDEX(Succès!$E$10:$E$13,MATCH(A147,Succès!$A$10:$A$13,0))),"Succès complet",IF(P147&gt;=INDEX(Succès!$E$10:$E$13,MATCH(A147,Succès!$A$10:$A$13,0)),"Engagé, portée modeste",IF(L147&gt;=INDEX(Succès!$D$10:$D$13,MATCH(A147,Succès!$A$10:$A$13,0)),"Portée sans engagement","Standard")))</f>
        <v>Standard</v>
      </c>
      <c r="T147" s="32">
        <f t="shared" si="11"/>
        <v>0</v>
      </c>
    </row>
    <row r="148" spans="1:20">
      <c r="A148" s="32" t="s">
        <v>43</v>
      </c>
      <c r="B148" s="32" t="s">
        <v>593</v>
      </c>
      <c r="C148" s="32" t="s">
        <v>594</v>
      </c>
      <c r="D148" s="32"/>
      <c r="E148" s="32" t="s">
        <v>93</v>
      </c>
      <c r="F148" s="32" t="s">
        <v>505</v>
      </c>
      <c r="G148" s="33"/>
      <c r="H148" s="32">
        <v>15</v>
      </c>
      <c r="I148" s="32">
        <v>0</v>
      </c>
      <c r="J148" s="32">
        <v>70</v>
      </c>
      <c r="K148" s="32">
        <v>0</v>
      </c>
      <c r="L148" s="33">
        <v>1100000</v>
      </c>
      <c r="M148" s="33">
        <v>38700</v>
      </c>
      <c r="N148" s="33">
        <v>351</v>
      </c>
      <c r="O148" s="33">
        <v>138</v>
      </c>
      <c r="P148" s="34">
        <f t="shared" si="8"/>
        <v>3.5626363636363637E-2</v>
      </c>
      <c r="Q148" s="34">
        <f t="shared" si="9"/>
        <v>3.5181818181818182E-2</v>
      </c>
      <c r="R148" s="35" t="str">
        <f t="shared" si="10"/>
        <v/>
      </c>
      <c r="S148" s="32" t="str">
        <f>IF(AND(L148&gt;=INDEX(Succès!$D$10:$D$13,MATCH(A148,Succès!$A$10:$A$13,0)),P148&gt;=INDEX(Succès!$E$10:$E$13,MATCH(A148,Succès!$A$10:$A$13,0))),"Succès complet",IF(P148&gt;=INDEX(Succès!$E$10:$E$13,MATCH(A148,Succès!$A$10:$A$13,0)),"Engagé, portée modeste",IF(L148&gt;=INDEX(Succès!$D$10:$D$13,MATCH(A148,Succès!$A$10:$A$13,0)),"Portée sans engagement","Standard")))</f>
        <v>Standard</v>
      </c>
      <c r="T148" s="32">
        <f t="shared" si="11"/>
        <v>0</v>
      </c>
    </row>
    <row r="149" spans="1:20">
      <c r="A149" s="32" t="s">
        <v>43</v>
      </c>
      <c r="B149" s="32" t="s">
        <v>595</v>
      </c>
      <c r="C149" s="32" t="s">
        <v>596</v>
      </c>
      <c r="D149" s="32"/>
      <c r="E149" s="32" t="s">
        <v>93</v>
      </c>
      <c r="F149" s="32" t="s">
        <v>505</v>
      </c>
      <c r="G149" s="33"/>
      <c r="H149" s="32">
        <v>14</v>
      </c>
      <c r="I149" s="32">
        <v>8</v>
      </c>
      <c r="J149" s="32">
        <v>138</v>
      </c>
      <c r="K149" s="32">
        <v>0</v>
      </c>
      <c r="L149" s="33">
        <v>14400000</v>
      </c>
      <c r="M149" s="33">
        <v>2100000</v>
      </c>
      <c r="N149" s="33">
        <v>12400</v>
      </c>
      <c r="O149" s="33">
        <v>67200</v>
      </c>
      <c r="P149" s="34">
        <f t="shared" si="8"/>
        <v>0.15136111111111111</v>
      </c>
      <c r="Q149" s="34">
        <f t="shared" si="9"/>
        <v>0.14583333333333334</v>
      </c>
      <c r="R149" s="35" t="str">
        <f t="shared" si="10"/>
        <v/>
      </c>
      <c r="S149" s="32" t="str">
        <f>IF(AND(L149&gt;=INDEX(Succès!$D$10:$D$13,MATCH(A149,Succès!$A$10:$A$13,0)),P149&gt;=INDEX(Succès!$E$10:$E$13,MATCH(A149,Succès!$A$10:$A$13,0))),"Succès complet",IF(P149&gt;=INDEX(Succès!$E$10:$E$13,MATCH(A149,Succès!$A$10:$A$13,0)),"Engagé, portée modeste",IF(L149&gt;=INDEX(Succès!$D$10:$D$13,MATCH(A149,Succès!$A$10:$A$13,0)),"Portée sans engagement","Standard")))</f>
        <v>Portée sans engagement</v>
      </c>
      <c r="T149" s="32">
        <f t="shared" si="11"/>
        <v>0</v>
      </c>
    </row>
    <row r="150" spans="1:20">
      <c r="A150" s="32" t="s">
        <v>43</v>
      </c>
      <c r="B150" s="32" t="s">
        <v>597</v>
      </c>
      <c r="C150" s="32" t="s">
        <v>598</v>
      </c>
      <c r="D150" s="32"/>
      <c r="E150" s="32" t="s">
        <v>93</v>
      </c>
      <c r="F150" s="32" t="s">
        <v>505</v>
      </c>
      <c r="G150" s="33"/>
      <c r="H150" s="32">
        <v>15</v>
      </c>
      <c r="I150" s="32">
        <v>0</v>
      </c>
      <c r="J150" s="32">
        <v>47</v>
      </c>
      <c r="K150" s="32">
        <v>0</v>
      </c>
      <c r="L150" s="33">
        <v>1000000</v>
      </c>
      <c r="M150" s="33">
        <v>81200</v>
      </c>
      <c r="N150" s="33">
        <v>2312</v>
      </c>
      <c r="O150" s="33">
        <v>483</v>
      </c>
      <c r="P150" s="34">
        <f t="shared" si="8"/>
        <v>8.3995E-2</v>
      </c>
      <c r="Q150" s="34">
        <f t="shared" si="9"/>
        <v>8.1199999999999994E-2</v>
      </c>
      <c r="R150" s="35" t="str">
        <f t="shared" si="10"/>
        <v/>
      </c>
      <c r="S150" s="32" t="str">
        <f>IF(AND(L150&gt;=INDEX(Succès!$D$10:$D$13,MATCH(A150,Succès!$A$10:$A$13,0)),P150&gt;=INDEX(Succès!$E$10:$E$13,MATCH(A150,Succès!$A$10:$A$13,0))),"Succès complet",IF(P150&gt;=INDEX(Succès!$E$10:$E$13,MATCH(A150,Succès!$A$10:$A$13,0)),"Engagé, portée modeste",IF(L150&gt;=INDEX(Succès!$D$10:$D$13,MATCH(A150,Succès!$A$10:$A$13,0)),"Portée sans engagement","Standard")))</f>
        <v>Standard</v>
      </c>
      <c r="T150" s="32">
        <f t="shared" si="11"/>
        <v>0</v>
      </c>
    </row>
    <row r="151" spans="1:20">
      <c r="A151" s="32" t="s">
        <v>43</v>
      </c>
      <c r="B151" s="32" t="s">
        <v>599</v>
      </c>
      <c r="C151" s="32" t="s">
        <v>600</v>
      </c>
      <c r="D151" s="32"/>
      <c r="E151" s="32" t="s">
        <v>93</v>
      </c>
      <c r="F151" s="32" t="s">
        <v>505</v>
      </c>
      <c r="G151" s="33"/>
      <c r="H151" s="32">
        <v>8</v>
      </c>
      <c r="I151" s="32">
        <v>1</v>
      </c>
      <c r="J151" s="32">
        <v>96</v>
      </c>
      <c r="K151" s="32">
        <v>0</v>
      </c>
      <c r="L151" s="33">
        <v>41500000</v>
      </c>
      <c r="M151" s="33">
        <v>8700000</v>
      </c>
      <c r="N151" s="33">
        <v>69200</v>
      </c>
      <c r="O151" s="33">
        <v>76200</v>
      </c>
      <c r="P151" s="34">
        <f t="shared" si="8"/>
        <v>0.21314216867469879</v>
      </c>
      <c r="Q151" s="34">
        <f t="shared" si="9"/>
        <v>0.20963855421686747</v>
      </c>
      <c r="R151" s="35" t="str">
        <f t="shared" si="10"/>
        <v/>
      </c>
      <c r="S151" s="32" t="str">
        <f>IF(AND(L151&gt;=INDEX(Succès!$D$10:$D$13,MATCH(A151,Succès!$A$10:$A$13,0)),P151&gt;=INDEX(Succès!$E$10:$E$13,MATCH(A151,Succès!$A$10:$A$13,0))),"Succès complet",IF(P151&gt;=INDEX(Succès!$E$10:$E$13,MATCH(A151,Succès!$A$10:$A$13,0)),"Engagé, portée modeste",IF(L151&gt;=INDEX(Succès!$D$10:$D$13,MATCH(A151,Succès!$A$10:$A$13,0)),"Portée sans engagement","Standard")))</f>
        <v>Succès complet</v>
      </c>
      <c r="T151" s="32">
        <f t="shared" si="11"/>
        <v>1</v>
      </c>
    </row>
    <row r="152" spans="1:20">
      <c r="A152" s="32" t="s">
        <v>43</v>
      </c>
      <c r="B152" s="32" t="s">
        <v>601</v>
      </c>
      <c r="C152" s="32" t="s">
        <v>602</v>
      </c>
      <c r="D152" s="32"/>
      <c r="E152" s="32" t="s">
        <v>93</v>
      </c>
      <c r="F152" s="32" t="s">
        <v>505</v>
      </c>
      <c r="G152" s="33"/>
      <c r="H152" s="32">
        <v>12</v>
      </c>
      <c r="I152" s="32">
        <v>1</v>
      </c>
      <c r="J152" s="32">
        <v>24</v>
      </c>
      <c r="K152" s="32">
        <v>0</v>
      </c>
      <c r="L152" s="33">
        <v>25900000</v>
      </c>
      <c r="M152" s="33">
        <v>3500000</v>
      </c>
      <c r="N152" s="33">
        <v>45000</v>
      </c>
      <c r="O152" s="33">
        <v>28400</v>
      </c>
      <c r="P152" s="34">
        <f t="shared" si="8"/>
        <v>0.13796911196911196</v>
      </c>
      <c r="Q152" s="34">
        <f t="shared" si="9"/>
        <v>0.13513513513513514</v>
      </c>
      <c r="R152" s="35" t="str">
        <f t="shared" si="10"/>
        <v/>
      </c>
      <c r="S152" s="32" t="str">
        <f>IF(AND(L152&gt;=INDEX(Succès!$D$10:$D$13,MATCH(A152,Succès!$A$10:$A$13,0)),P152&gt;=INDEX(Succès!$E$10:$E$13,MATCH(A152,Succès!$A$10:$A$13,0))),"Succès complet",IF(P152&gt;=INDEX(Succès!$E$10:$E$13,MATCH(A152,Succès!$A$10:$A$13,0)),"Engagé, portée modeste",IF(L152&gt;=INDEX(Succès!$D$10:$D$13,MATCH(A152,Succès!$A$10:$A$13,0)),"Portée sans engagement","Standard")))</f>
        <v>Portée sans engagement</v>
      </c>
      <c r="T152" s="32">
        <f t="shared" si="11"/>
        <v>0</v>
      </c>
    </row>
    <row r="153" spans="1:20">
      <c r="A153" s="32" t="s">
        <v>43</v>
      </c>
      <c r="B153" s="32" t="s">
        <v>603</v>
      </c>
      <c r="C153" s="32" t="s">
        <v>604</v>
      </c>
      <c r="D153" s="32"/>
      <c r="E153" s="32" t="s">
        <v>93</v>
      </c>
      <c r="F153" s="32" t="s">
        <v>505</v>
      </c>
      <c r="G153" s="33"/>
      <c r="H153" s="32">
        <v>44</v>
      </c>
      <c r="I153" s="32">
        <v>0</v>
      </c>
      <c r="J153" s="32">
        <v>82</v>
      </c>
      <c r="K153" s="32">
        <v>0</v>
      </c>
      <c r="L153" s="33">
        <v>5400000</v>
      </c>
      <c r="M153" s="33">
        <v>712800</v>
      </c>
      <c r="N153" s="33">
        <v>3560</v>
      </c>
      <c r="O153" s="33">
        <v>1534</v>
      </c>
      <c r="P153" s="34">
        <f t="shared" si="8"/>
        <v>0.13294333333333333</v>
      </c>
      <c r="Q153" s="34">
        <f t="shared" si="9"/>
        <v>0.13200000000000001</v>
      </c>
      <c r="R153" s="35" t="str">
        <f t="shared" si="10"/>
        <v/>
      </c>
      <c r="S153" s="32" t="str">
        <f>IF(AND(L153&gt;=INDEX(Succès!$D$10:$D$13,MATCH(A153,Succès!$A$10:$A$13,0)),P153&gt;=INDEX(Succès!$E$10:$E$13,MATCH(A153,Succès!$A$10:$A$13,0))),"Succès complet",IF(P153&gt;=INDEX(Succès!$E$10:$E$13,MATCH(A153,Succès!$A$10:$A$13,0)),"Engagé, portée modeste",IF(L153&gt;=INDEX(Succès!$D$10:$D$13,MATCH(A153,Succès!$A$10:$A$13,0)),"Portée sans engagement","Standard")))</f>
        <v>Standard</v>
      </c>
      <c r="T153" s="32">
        <f t="shared" si="11"/>
        <v>0</v>
      </c>
    </row>
    <row r="154" spans="1:20">
      <c r="A154" s="32" t="s">
        <v>43</v>
      </c>
      <c r="B154" s="32" t="s">
        <v>605</v>
      </c>
      <c r="C154" s="32" t="s">
        <v>602</v>
      </c>
      <c r="D154" s="32"/>
      <c r="E154" s="32" t="s">
        <v>93</v>
      </c>
      <c r="F154" s="32" t="s">
        <v>505</v>
      </c>
      <c r="G154" s="33"/>
      <c r="H154" s="32">
        <v>44</v>
      </c>
      <c r="I154" s="32">
        <v>1</v>
      </c>
      <c r="J154" s="32">
        <v>142</v>
      </c>
      <c r="K154" s="32">
        <v>0</v>
      </c>
      <c r="L154" s="33">
        <v>7200000</v>
      </c>
      <c r="M154" s="33">
        <v>652700</v>
      </c>
      <c r="N154" s="33">
        <v>12900</v>
      </c>
      <c r="O154" s="33">
        <v>5041</v>
      </c>
      <c r="P154" s="34">
        <f t="shared" si="8"/>
        <v>9.3144583333333336E-2</v>
      </c>
      <c r="Q154" s="34">
        <f t="shared" si="9"/>
        <v>9.0652777777777777E-2</v>
      </c>
      <c r="R154" s="35" t="str">
        <f t="shared" si="10"/>
        <v/>
      </c>
      <c r="S154" s="32" t="str">
        <f>IF(AND(L154&gt;=INDEX(Succès!$D$10:$D$13,MATCH(A154,Succès!$A$10:$A$13,0)),P154&gt;=INDEX(Succès!$E$10:$E$13,MATCH(A154,Succès!$A$10:$A$13,0))),"Succès complet",IF(P154&gt;=INDEX(Succès!$E$10:$E$13,MATCH(A154,Succès!$A$10:$A$13,0)),"Engagé, portée modeste",IF(L154&gt;=INDEX(Succès!$D$10:$D$13,MATCH(A154,Succès!$A$10:$A$13,0)),"Portée sans engagement","Standard")))</f>
        <v>Portée sans engagement</v>
      </c>
      <c r="T154" s="32">
        <f t="shared" si="11"/>
        <v>0</v>
      </c>
    </row>
    <row r="155" spans="1:20">
      <c r="A155" s="32" t="s">
        <v>43</v>
      </c>
      <c r="B155" s="32" t="s">
        <v>606</v>
      </c>
      <c r="C155" s="32" t="s">
        <v>607</v>
      </c>
      <c r="D155" s="32"/>
      <c r="E155" s="32" t="s">
        <v>93</v>
      </c>
      <c r="F155" s="32" t="s">
        <v>505</v>
      </c>
      <c r="G155" s="33"/>
      <c r="H155" s="32">
        <v>25</v>
      </c>
      <c r="I155" s="32">
        <v>0</v>
      </c>
      <c r="J155" s="32">
        <v>23</v>
      </c>
      <c r="K155" s="32">
        <v>0</v>
      </c>
      <c r="L155" s="33">
        <v>758200</v>
      </c>
      <c r="M155" s="33">
        <v>181800</v>
      </c>
      <c r="N155" s="33">
        <v>3222</v>
      </c>
      <c r="O155" s="33">
        <v>17300</v>
      </c>
      <c r="P155" s="34">
        <f t="shared" si="8"/>
        <v>0.26684515958849908</v>
      </c>
      <c r="Q155" s="34">
        <f t="shared" si="9"/>
        <v>0.23977842257979426</v>
      </c>
      <c r="R155" s="35" t="str">
        <f t="shared" si="10"/>
        <v/>
      </c>
      <c r="S155" s="32" t="str">
        <f>IF(AND(L155&gt;=INDEX(Succès!$D$10:$D$13,MATCH(A155,Succès!$A$10:$A$13,0)),P155&gt;=INDEX(Succès!$E$10:$E$13,MATCH(A155,Succès!$A$10:$A$13,0))),"Succès complet",IF(P155&gt;=INDEX(Succès!$E$10:$E$13,MATCH(A155,Succès!$A$10:$A$13,0)),"Engagé, portée modeste",IF(L155&gt;=INDEX(Succès!$D$10:$D$13,MATCH(A155,Succès!$A$10:$A$13,0)),"Portée sans engagement","Standard")))</f>
        <v>Engagé, portée modeste</v>
      </c>
      <c r="T155" s="32">
        <f t="shared" si="11"/>
        <v>0</v>
      </c>
    </row>
    <row r="156" spans="1:20">
      <c r="A156" s="32" t="s">
        <v>43</v>
      </c>
      <c r="B156" s="32" t="s">
        <v>608</v>
      </c>
      <c r="C156" s="32" t="s">
        <v>609</v>
      </c>
      <c r="D156" s="32"/>
      <c r="E156" s="32" t="s">
        <v>93</v>
      </c>
      <c r="F156" s="32" t="s">
        <v>505</v>
      </c>
      <c r="G156" s="33"/>
      <c r="H156" s="32">
        <v>25</v>
      </c>
      <c r="I156" s="32">
        <v>0</v>
      </c>
      <c r="J156" s="32">
        <v>20</v>
      </c>
      <c r="K156" s="32">
        <v>0</v>
      </c>
      <c r="L156" s="33">
        <v>630000</v>
      </c>
      <c r="M156" s="33">
        <v>58300</v>
      </c>
      <c r="N156" s="33">
        <v>1322</v>
      </c>
      <c r="O156" s="33">
        <v>766</v>
      </c>
      <c r="P156" s="34">
        <f t="shared" si="8"/>
        <v>9.5853968253968261E-2</v>
      </c>
      <c r="Q156" s="34">
        <f t="shared" si="9"/>
        <v>9.2539682539682533E-2</v>
      </c>
      <c r="R156" s="35" t="str">
        <f t="shared" si="10"/>
        <v/>
      </c>
      <c r="S156" s="32" t="str">
        <f>IF(AND(L156&gt;=INDEX(Succès!$D$10:$D$13,MATCH(A156,Succès!$A$10:$A$13,0)),P156&gt;=INDEX(Succès!$E$10:$E$13,MATCH(A156,Succès!$A$10:$A$13,0))),"Succès complet",IF(P156&gt;=INDEX(Succès!$E$10:$E$13,MATCH(A156,Succès!$A$10:$A$13,0)),"Engagé, portée modeste",IF(L156&gt;=INDEX(Succès!$D$10:$D$13,MATCH(A156,Succès!$A$10:$A$13,0)),"Portée sans engagement","Standard")))</f>
        <v>Standard</v>
      </c>
      <c r="T156" s="32">
        <f t="shared" si="11"/>
        <v>0</v>
      </c>
    </row>
    <row r="157" spans="1:20">
      <c r="A157" s="32" t="s">
        <v>43</v>
      </c>
      <c r="B157" s="32" t="s">
        <v>610</v>
      </c>
      <c r="C157" s="32" t="s">
        <v>611</v>
      </c>
      <c r="D157" s="32"/>
      <c r="E157" s="32" t="s">
        <v>93</v>
      </c>
      <c r="F157" s="32" t="s">
        <v>505</v>
      </c>
      <c r="G157" s="33"/>
      <c r="H157" s="32">
        <v>24</v>
      </c>
      <c r="I157" s="32">
        <v>4</v>
      </c>
      <c r="J157" s="32">
        <v>111</v>
      </c>
      <c r="K157" s="32">
        <v>1</v>
      </c>
      <c r="L157" s="33">
        <v>9300000</v>
      </c>
      <c r="M157" s="33">
        <v>2200000</v>
      </c>
      <c r="N157" s="33">
        <v>53800</v>
      </c>
      <c r="O157" s="33">
        <v>50000</v>
      </c>
      <c r="P157" s="34">
        <f t="shared" si="8"/>
        <v>0.2477204301075269</v>
      </c>
      <c r="Q157" s="34">
        <f t="shared" si="9"/>
        <v>0.23655913978494625</v>
      </c>
      <c r="R157" s="35" t="str">
        <f t="shared" si="10"/>
        <v/>
      </c>
      <c r="S157" s="32" t="str">
        <f>IF(AND(L157&gt;=INDEX(Succès!$D$10:$D$13,MATCH(A157,Succès!$A$10:$A$13,0)),P157&gt;=INDEX(Succès!$E$10:$E$13,MATCH(A157,Succès!$A$10:$A$13,0))),"Succès complet",IF(P157&gt;=INDEX(Succès!$E$10:$E$13,MATCH(A157,Succès!$A$10:$A$13,0)),"Engagé, portée modeste",IF(L157&gt;=INDEX(Succès!$D$10:$D$13,MATCH(A157,Succès!$A$10:$A$13,0)),"Portée sans engagement","Standard")))</f>
        <v>Succès complet</v>
      </c>
      <c r="T157" s="32">
        <f t="shared" si="11"/>
        <v>1</v>
      </c>
    </row>
    <row r="158" spans="1:20">
      <c r="A158" s="32" t="s">
        <v>43</v>
      </c>
      <c r="B158" s="32" t="s">
        <v>612</v>
      </c>
      <c r="C158" s="32" t="s">
        <v>613</v>
      </c>
      <c r="D158" s="32"/>
      <c r="E158" s="32" t="s">
        <v>93</v>
      </c>
      <c r="F158" s="32" t="s">
        <v>505</v>
      </c>
      <c r="G158" s="33"/>
      <c r="H158" s="32">
        <v>21</v>
      </c>
      <c r="I158" s="32">
        <v>0</v>
      </c>
      <c r="J158" s="32">
        <v>56</v>
      </c>
      <c r="K158" s="32">
        <v>0</v>
      </c>
      <c r="L158" s="33">
        <v>5000000</v>
      </c>
      <c r="M158" s="33">
        <v>922400</v>
      </c>
      <c r="N158" s="33">
        <v>77200</v>
      </c>
      <c r="O158" s="33">
        <v>12600</v>
      </c>
      <c r="P158" s="34">
        <f t="shared" si="8"/>
        <v>0.20244000000000001</v>
      </c>
      <c r="Q158" s="34">
        <f t="shared" si="9"/>
        <v>0.18448000000000001</v>
      </c>
      <c r="R158" s="35" t="str">
        <f t="shared" si="10"/>
        <v/>
      </c>
      <c r="S158" s="32" t="str">
        <f>IF(AND(L158&gt;=INDEX(Succès!$D$10:$D$13,MATCH(A158,Succès!$A$10:$A$13,0)),P158&gt;=INDEX(Succès!$E$10:$E$13,MATCH(A158,Succès!$A$10:$A$13,0))),"Succès complet",IF(P158&gt;=INDEX(Succès!$E$10:$E$13,MATCH(A158,Succès!$A$10:$A$13,0)),"Engagé, portée modeste",IF(L158&gt;=INDEX(Succès!$D$10:$D$13,MATCH(A158,Succès!$A$10:$A$13,0)),"Portée sans engagement","Standard")))</f>
        <v>Engagé, portée modeste</v>
      </c>
      <c r="T158" s="32">
        <f t="shared" si="11"/>
        <v>0</v>
      </c>
    </row>
    <row r="159" spans="1:20">
      <c r="A159" s="32" t="s">
        <v>43</v>
      </c>
      <c r="B159" s="32" t="s">
        <v>614</v>
      </c>
      <c r="C159" s="32" t="s">
        <v>615</v>
      </c>
      <c r="D159" s="32"/>
      <c r="E159" s="32" t="s">
        <v>93</v>
      </c>
      <c r="F159" s="32" t="s">
        <v>505</v>
      </c>
      <c r="G159" s="33"/>
      <c r="H159" s="32">
        <v>47</v>
      </c>
      <c r="I159" s="32">
        <v>1</v>
      </c>
      <c r="J159" s="32">
        <v>27</v>
      </c>
      <c r="K159" s="32">
        <v>0</v>
      </c>
      <c r="L159" s="33">
        <v>5800000</v>
      </c>
      <c r="M159" s="33">
        <v>1000000</v>
      </c>
      <c r="N159" s="33">
        <v>8713</v>
      </c>
      <c r="O159" s="33">
        <v>6067</v>
      </c>
      <c r="P159" s="34">
        <f t="shared" si="8"/>
        <v>0.17496206896551725</v>
      </c>
      <c r="Q159" s="34">
        <f t="shared" si="9"/>
        <v>0.17241379310344829</v>
      </c>
      <c r="R159" s="35" t="str">
        <f t="shared" si="10"/>
        <v/>
      </c>
      <c r="S159" s="32" t="str">
        <f>IF(AND(L159&gt;=INDEX(Succès!$D$10:$D$13,MATCH(A159,Succès!$A$10:$A$13,0)),P159&gt;=INDEX(Succès!$E$10:$E$13,MATCH(A159,Succès!$A$10:$A$13,0))),"Succès complet",IF(P159&gt;=INDEX(Succès!$E$10:$E$13,MATCH(A159,Succès!$A$10:$A$13,0)),"Engagé, portée modeste",IF(L159&gt;=INDEX(Succès!$D$10:$D$13,MATCH(A159,Succès!$A$10:$A$13,0)),"Portée sans engagement","Standard")))</f>
        <v>Portée sans engagement</v>
      </c>
      <c r="T159" s="32">
        <f t="shared" si="11"/>
        <v>0</v>
      </c>
    </row>
    <row r="160" spans="1:20">
      <c r="A160" s="32" t="s">
        <v>43</v>
      </c>
      <c r="B160" s="32" t="s">
        <v>616</v>
      </c>
      <c r="C160" s="32" t="s">
        <v>617</v>
      </c>
      <c r="D160" s="32"/>
      <c r="E160" s="32" t="s">
        <v>93</v>
      </c>
      <c r="F160" s="32" t="s">
        <v>505</v>
      </c>
      <c r="G160" s="33"/>
      <c r="H160" s="32">
        <v>50</v>
      </c>
      <c r="I160" s="32">
        <v>2</v>
      </c>
      <c r="J160" s="32">
        <v>93</v>
      </c>
      <c r="K160" s="32">
        <v>0</v>
      </c>
      <c r="L160" s="33">
        <v>25400000</v>
      </c>
      <c r="M160" s="33">
        <v>2000000</v>
      </c>
      <c r="N160" s="33">
        <v>44500</v>
      </c>
      <c r="O160" s="33">
        <v>7653</v>
      </c>
      <c r="P160" s="34">
        <f t="shared" si="8"/>
        <v>8.0793425196850399E-2</v>
      </c>
      <c r="Q160" s="34">
        <f t="shared" si="9"/>
        <v>7.874015748031496E-2</v>
      </c>
      <c r="R160" s="35" t="str">
        <f t="shared" si="10"/>
        <v/>
      </c>
      <c r="S160" s="32" t="str">
        <f>IF(AND(L160&gt;=INDEX(Succès!$D$10:$D$13,MATCH(A160,Succès!$A$10:$A$13,0)),P160&gt;=INDEX(Succès!$E$10:$E$13,MATCH(A160,Succès!$A$10:$A$13,0))),"Succès complet",IF(P160&gt;=INDEX(Succès!$E$10:$E$13,MATCH(A160,Succès!$A$10:$A$13,0)),"Engagé, portée modeste",IF(L160&gt;=INDEX(Succès!$D$10:$D$13,MATCH(A160,Succès!$A$10:$A$13,0)),"Portée sans engagement","Standard")))</f>
        <v>Portée sans engagement</v>
      </c>
      <c r="T160" s="32">
        <f t="shared" si="11"/>
        <v>0</v>
      </c>
    </row>
    <row r="161" spans="1:20">
      <c r="A161" s="32" t="s">
        <v>43</v>
      </c>
      <c r="B161" s="32" t="s">
        <v>618</v>
      </c>
      <c r="C161" s="32" t="s">
        <v>583</v>
      </c>
      <c r="D161" s="32"/>
      <c r="E161" s="32" t="s">
        <v>93</v>
      </c>
      <c r="F161" s="32" t="s">
        <v>505</v>
      </c>
      <c r="G161" s="33"/>
      <c r="H161" s="32">
        <v>50</v>
      </c>
      <c r="I161" s="32">
        <v>2</v>
      </c>
      <c r="J161" s="32">
        <v>143</v>
      </c>
      <c r="K161" s="32">
        <v>0</v>
      </c>
      <c r="L161" s="33">
        <v>6100000</v>
      </c>
      <c r="M161" s="33">
        <v>161100</v>
      </c>
      <c r="N161" s="33">
        <v>1595</v>
      </c>
      <c r="O161" s="33">
        <v>304</v>
      </c>
      <c r="P161" s="34">
        <f t="shared" si="8"/>
        <v>2.6721147540983606E-2</v>
      </c>
      <c r="Q161" s="34">
        <f t="shared" si="9"/>
        <v>2.6409836065573771E-2</v>
      </c>
      <c r="R161" s="35" t="str">
        <f t="shared" si="10"/>
        <v/>
      </c>
      <c r="S161" s="32" t="str">
        <f>IF(AND(L161&gt;=INDEX(Succès!$D$10:$D$13,MATCH(A161,Succès!$A$10:$A$13,0)),P161&gt;=INDEX(Succès!$E$10:$E$13,MATCH(A161,Succès!$A$10:$A$13,0))),"Succès complet",IF(P161&gt;=INDEX(Succès!$E$10:$E$13,MATCH(A161,Succès!$A$10:$A$13,0)),"Engagé, portée modeste",IF(L161&gt;=INDEX(Succès!$D$10:$D$13,MATCH(A161,Succès!$A$10:$A$13,0)),"Portée sans engagement","Standard")))</f>
        <v>Portée sans engagement</v>
      </c>
      <c r="T161" s="32">
        <f t="shared" si="11"/>
        <v>0</v>
      </c>
    </row>
    <row r="162" spans="1:20">
      <c r="A162" s="32" t="s">
        <v>43</v>
      </c>
      <c r="B162" s="32" t="s">
        <v>619</v>
      </c>
      <c r="C162" s="32" t="s">
        <v>620</v>
      </c>
      <c r="D162" s="32"/>
      <c r="E162" s="32" t="s">
        <v>93</v>
      </c>
      <c r="F162" s="32" t="s">
        <v>505</v>
      </c>
      <c r="G162" s="33"/>
      <c r="H162" s="32">
        <v>15</v>
      </c>
      <c r="I162" s="32">
        <v>2</v>
      </c>
      <c r="J162" s="32">
        <v>98</v>
      </c>
      <c r="K162" s="32">
        <v>0</v>
      </c>
      <c r="L162" s="33">
        <v>40500</v>
      </c>
      <c r="M162" s="33">
        <v>1073</v>
      </c>
      <c r="N162" s="33">
        <v>81</v>
      </c>
      <c r="O162" s="33">
        <v>51</v>
      </c>
      <c r="P162" s="34">
        <f t="shared" si="8"/>
        <v>2.9753086419753088E-2</v>
      </c>
      <c r="Q162" s="34">
        <f t="shared" si="9"/>
        <v>2.6493827160493828E-2</v>
      </c>
      <c r="R162" s="35" t="str">
        <f t="shared" si="10"/>
        <v/>
      </c>
      <c r="S162" s="32" t="str">
        <f>IF(AND(L162&gt;=INDEX(Succès!$D$10:$D$13,MATCH(A162,Succès!$A$10:$A$13,0)),P162&gt;=INDEX(Succès!$E$10:$E$13,MATCH(A162,Succès!$A$10:$A$13,0))),"Succès complet",IF(P162&gt;=INDEX(Succès!$E$10:$E$13,MATCH(A162,Succès!$A$10:$A$13,0)),"Engagé, portée modeste",IF(L162&gt;=INDEX(Succès!$D$10:$D$13,MATCH(A162,Succès!$A$10:$A$13,0)),"Portée sans engagement","Standard")))</f>
        <v>Standard</v>
      </c>
      <c r="T162" s="32">
        <f t="shared" si="11"/>
        <v>0</v>
      </c>
    </row>
    <row r="163" spans="1:20">
      <c r="A163" s="32" t="s">
        <v>43</v>
      </c>
      <c r="B163" s="32" t="s">
        <v>621</v>
      </c>
      <c r="C163" s="32" t="s">
        <v>525</v>
      </c>
      <c r="D163" s="32"/>
      <c r="E163" s="32" t="s">
        <v>93</v>
      </c>
      <c r="F163" s="32" t="s">
        <v>505</v>
      </c>
      <c r="G163" s="33"/>
      <c r="H163" s="32">
        <v>11</v>
      </c>
      <c r="I163" s="32">
        <v>2</v>
      </c>
      <c r="J163" s="32">
        <v>72</v>
      </c>
      <c r="K163" s="32">
        <v>0</v>
      </c>
      <c r="L163" s="33">
        <v>181100000</v>
      </c>
      <c r="M163" s="33">
        <v>23900000</v>
      </c>
      <c r="N163" s="33">
        <v>274500</v>
      </c>
      <c r="O163" s="33">
        <v>85800</v>
      </c>
      <c r="P163" s="34">
        <f t="shared" si="8"/>
        <v>0.13396079514080619</v>
      </c>
      <c r="Q163" s="34">
        <f t="shared" si="9"/>
        <v>0.13197128658199889</v>
      </c>
      <c r="R163" s="35" t="str">
        <f t="shared" si="10"/>
        <v/>
      </c>
      <c r="S163" s="32" t="str">
        <f>IF(AND(L163&gt;=INDEX(Succès!$D$10:$D$13,MATCH(A163,Succès!$A$10:$A$13,0)),P163&gt;=INDEX(Succès!$E$10:$E$13,MATCH(A163,Succès!$A$10:$A$13,0))),"Succès complet",IF(P163&gt;=INDEX(Succès!$E$10:$E$13,MATCH(A163,Succès!$A$10:$A$13,0)),"Engagé, portée modeste",IF(L163&gt;=INDEX(Succès!$D$10:$D$13,MATCH(A163,Succès!$A$10:$A$13,0)),"Portée sans engagement","Standard")))</f>
        <v>Portée sans engagement</v>
      </c>
      <c r="T163" s="32">
        <f t="shared" si="11"/>
        <v>0</v>
      </c>
    </row>
    <row r="164" spans="1:20">
      <c r="A164" s="32" t="s">
        <v>43</v>
      </c>
      <c r="B164" s="32" t="s">
        <v>622</v>
      </c>
      <c r="C164" s="32" t="s">
        <v>623</v>
      </c>
      <c r="D164" s="32"/>
      <c r="E164" s="32" t="s">
        <v>93</v>
      </c>
      <c r="F164" s="32" t="s">
        <v>505</v>
      </c>
      <c r="G164" s="33"/>
      <c r="H164" s="32">
        <v>15</v>
      </c>
      <c r="I164" s="32">
        <v>0</v>
      </c>
      <c r="J164" s="32">
        <v>0</v>
      </c>
      <c r="K164" s="32">
        <v>0</v>
      </c>
      <c r="L164" s="33">
        <v>5600000</v>
      </c>
      <c r="M164" s="33">
        <v>1600000</v>
      </c>
      <c r="N164" s="33">
        <v>3845</v>
      </c>
      <c r="O164" s="33">
        <v>3147</v>
      </c>
      <c r="P164" s="34">
        <f t="shared" si="8"/>
        <v>0.28696285714285713</v>
      </c>
      <c r="Q164" s="34">
        <f t="shared" si="9"/>
        <v>0.2857142857142857</v>
      </c>
      <c r="R164" s="35" t="str">
        <f t="shared" si="10"/>
        <v/>
      </c>
      <c r="S164" s="32" t="str">
        <f>IF(AND(L164&gt;=INDEX(Succès!$D$10:$D$13,MATCH(A164,Succès!$A$10:$A$13,0)),P164&gt;=INDEX(Succès!$E$10:$E$13,MATCH(A164,Succès!$A$10:$A$13,0))),"Succès complet",IF(P164&gt;=INDEX(Succès!$E$10:$E$13,MATCH(A164,Succès!$A$10:$A$13,0)),"Engagé, portée modeste",IF(L164&gt;=INDEX(Succès!$D$10:$D$13,MATCH(A164,Succès!$A$10:$A$13,0)),"Portée sans engagement","Standard")))</f>
        <v>Engagé, portée modeste</v>
      </c>
      <c r="T164" s="32">
        <f t="shared" si="11"/>
        <v>0</v>
      </c>
    </row>
    <row r="165" spans="1:20">
      <c r="A165" s="32" t="s">
        <v>43</v>
      </c>
      <c r="B165" s="32" t="s">
        <v>624</v>
      </c>
      <c r="C165" s="32" t="s">
        <v>625</v>
      </c>
      <c r="D165" s="32"/>
      <c r="E165" s="32" t="s">
        <v>93</v>
      </c>
      <c r="F165" s="32" t="s">
        <v>505</v>
      </c>
      <c r="G165" s="33"/>
      <c r="H165" s="32">
        <v>18</v>
      </c>
      <c r="I165" s="32">
        <v>1</v>
      </c>
      <c r="J165" s="32">
        <v>17</v>
      </c>
      <c r="K165" s="32">
        <v>0</v>
      </c>
      <c r="L165" s="33">
        <v>49500000</v>
      </c>
      <c r="M165" s="33">
        <v>12500000</v>
      </c>
      <c r="N165" s="33">
        <v>167500</v>
      </c>
      <c r="O165" s="33">
        <v>265000</v>
      </c>
      <c r="P165" s="34">
        <f t="shared" si="8"/>
        <v>0.26126262626262625</v>
      </c>
      <c r="Q165" s="34">
        <f t="shared" si="9"/>
        <v>0.25252525252525254</v>
      </c>
      <c r="R165" s="35" t="str">
        <f t="shared" si="10"/>
        <v/>
      </c>
      <c r="S165" s="32" t="str">
        <f>IF(AND(L165&gt;=INDEX(Succès!$D$10:$D$13,MATCH(A165,Succès!$A$10:$A$13,0)),P165&gt;=INDEX(Succès!$E$10:$E$13,MATCH(A165,Succès!$A$10:$A$13,0))),"Succès complet",IF(P165&gt;=INDEX(Succès!$E$10:$E$13,MATCH(A165,Succès!$A$10:$A$13,0)),"Engagé, portée modeste",IF(L165&gt;=INDEX(Succès!$D$10:$D$13,MATCH(A165,Succès!$A$10:$A$13,0)),"Portée sans engagement","Standard")))</f>
        <v>Succès complet</v>
      </c>
      <c r="T165" s="32">
        <f t="shared" si="11"/>
        <v>1</v>
      </c>
    </row>
    <row r="166" spans="1:20">
      <c r="A166" s="32" t="s">
        <v>43</v>
      </c>
      <c r="B166" s="32" t="s">
        <v>626</v>
      </c>
      <c r="C166" s="32" t="s">
        <v>627</v>
      </c>
      <c r="D166" s="32"/>
      <c r="E166" s="32" t="s">
        <v>93</v>
      </c>
      <c r="F166" s="32" t="s">
        <v>505</v>
      </c>
      <c r="G166" s="33"/>
      <c r="H166" s="32">
        <v>58</v>
      </c>
      <c r="I166" s="32">
        <v>6</v>
      </c>
      <c r="J166" s="32">
        <v>148</v>
      </c>
      <c r="K166" s="32">
        <v>1</v>
      </c>
      <c r="L166" s="33">
        <v>23000000</v>
      </c>
      <c r="M166" s="33">
        <v>3600000</v>
      </c>
      <c r="N166" s="33">
        <v>107800</v>
      </c>
      <c r="O166" s="33">
        <v>99300</v>
      </c>
      <c r="P166" s="34">
        <f t="shared" si="8"/>
        <v>0.16552608695652174</v>
      </c>
      <c r="Q166" s="34">
        <f t="shared" si="9"/>
        <v>0.15652173913043479</v>
      </c>
      <c r="R166" s="35" t="str">
        <f t="shared" si="10"/>
        <v/>
      </c>
      <c r="S166" s="32" t="str">
        <f>IF(AND(L166&gt;=INDEX(Succès!$D$10:$D$13,MATCH(A166,Succès!$A$10:$A$13,0)),P166&gt;=INDEX(Succès!$E$10:$E$13,MATCH(A166,Succès!$A$10:$A$13,0))),"Succès complet",IF(P166&gt;=INDEX(Succès!$E$10:$E$13,MATCH(A166,Succès!$A$10:$A$13,0)),"Engagé, portée modeste",IF(L166&gt;=INDEX(Succès!$D$10:$D$13,MATCH(A166,Succès!$A$10:$A$13,0)),"Portée sans engagement","Standard")))</f>
        <v>Portée sans engagement</v>
      </c>
      <c r="T166" s="32">
        <f t="shared" si="11"/>
        <v>0</v>
      </c>
    </row>
    <row r="167" spans="1:20">
      <c r="A167" s="32" t="s">
        <v>43</v>
      </c>
      <c r="B167" s="32" t="s">
        <v>628</v>
      </c>
      <c r="C167" s="32" t="s">
        <v>629</v>
      </c>
      <c r="D167" s="32"/>
      <c r="E167" s="32" t="s">
        <v>93</v>
      </c>
      <c r="F167" s="32" t="s">
        <v>505</v>
      </c>
      <c r="G167" s="33"/>
      <c r="H167" s="32">
        <v>15</v>
      </c>
      <c r="I167" s="32">
        <v>3</v>
      </c>
      <c r="J167" s="32">
        <v>57</v>
      </c>
      <c r="K167" s="32">
        <v>0</v>
      </c>
      <c r="L167" s="33">
        <v>4400000</v>
      </c>
      <c r="M167" s="33">
        <v>1200000</v>
      </c>
      <c r="N167" s="33">
        <v>18100</v>
      </c>
      <c r="O167" s="33">
        <v>40700</v>
      </c>
      <c r="P167" s="34">
        <f t="shared" si="8"/>
        <v>0.28609090909090912</v>
      </c>
      <c r="Q167" s="34">
        <f t="shared" si="9"/>
        <v>0.27272727272727271</v>
      </c>
      <c r="R167" s="35" t="str">
        <f t="shared" si="10"/>
        <v/>
      </c>
      <c r="S167" s="32" t="str">
        <f>IF(AND(L167&gt;=INDEX(Succès!$D$10:$D$13,MATCH(A167,Succès!$A$10:$A$13,0)),P167&gt;=INDEX(Succès!$E$10:$E$13,MATCH(A167,Succès!$A$10:$A$13,0))),"Succès complet",IF(P167&gt;=INDEX(Succès!$E$10:$E$13,MATCH(A167,Succès!$A$10:$A$13,0)),"Engagé, portée modeste",IF(L167&gt;=INDEX(Succès!$D$10:$D$13,MATCH(A167,Succès!$A$10:$A$13,0)),"Portée sans engagement","Standard")))</f>
        <v>Engagé, portée modeste</v>
      </c>
      <c r="T167" s="32">
        <f t="shared" si="11"/>
        <v>0</v>
      </c>
    </row>
    <row r="168" spans="1:20">
      <c r="A168" s="32" t="s">
        <v>43</v>
      </c>
      <c r="B168" s="32" t="s">
        <v>630</v>
      </c>
      <c r="C168" s="32" t="s">
        <v>631</v>
      </c>
      <c r="D168" s="32"/>
      <c r="E168" s="32" t="s">
        <v>93</v>
      </c>
      <c r="F168" s="32" t="s">
        <v>505</v>
      </c>
      <c r="G168" s="33"/>
      <c r="H168" s="32">
        <v>14</v>
      </c>
      <c r="I168" s="32">
        <v>0</v>
      </c>
      <c r="J168" s="32">
        <v>0</v>
      </c>
      <c r="K168" s="32">
        <v>0</v>
      </c>
      <c r="L168" s="33">
        <v>1400000</v>
      </c>
      <c r="M168" s="33">
        <v>453500</v>
      </c>
      <c r="N168" s="33">
        <v>5971</v>
      </c>
      <c r="O168" s="33">
        <v>6593</v>
      </c>
      <c r="P168" s="34">
        <f t="shared" si="8"/>
        <v>0.33290285714285717</v>
      </c>
      <c r="Q168" s="34">
        <f t="shared" si="9"/>
        <v>0.32392857142857145</v>
      </c>
      <c r="R168" s="35" t="str">
        <f t="shared" si="10"/>
        <v/>
      </c>
      <c r="S168" s="32" t="str">
        <f>IF(AND(L168&gt;=INDEX(Succès!$D$10:$D$13,MATCH(A168,Succès!$A$10:$A$13,0)),P168&gt;=INDEX(Succès!$E$10:$E$13,MATCH(A168,Succès!$A$10:$A$13,0))),"Succès complet",IF(P168&gt;=INDEX(Succès!$E$10:$E$13,MATCH(A168,Succès!$A$10:$A$13,0)),"Engagé, portée modeste",IF(L168&gt;=INDEX(Succès!$D$10:$D$13,MATCH(A168,Succès!$A$10:$A$13,0)),"Portée sans engagement","Standard")))</f>
        <v>Engagé, portée modeste</v>
      </c>
      <c r="T168" s="32">
        <f t="shared" si="11"/>
        <v>0</v>
      </c>
    </row>
    <row r="169" spans="1:20">
      <c r="A169" s="32" t="s">
        <v>43</v>
      </c>
      <c r="B169" s="32" t="s">
        <v>632</v>
      </c>
      <c r="C169" s="32" t="s">
        <v>633</v>
      </c>
      <c r="D169" s="32"/>
      <c r="E169" s="32" t="s">
        <v>93</v>
      </c>
      <c r="F169" s="32" t="s">
        <v>505</v>
      </c>
      <c r="G169" s="33"/>
      <c r="H169" s="32">
        <v>43</v>
      </c>
      <c r="I169" s="32">
        <v>1</v>
      </c>
      <c r="J169" s="32">
        <v>50</v>
      </c>
      <c r="K169" s="32">
        <v>0</v>
      </c>
      <c r="L169" s="33">
        <v>17800000</v>
      </c>
      <c r="M169" s="33">
        <v>5300000</v>
      </c>
      <c r="N169" s="33">
        <v>108600</v>
      </c>
      <c r="O169" s="33">
        <v>409900</v>
      </c>
      <c r="P169" s="34">
        <f t="shared" si="8"/>
        <v>0.32688202247191012</v>
      </c>
      <c r="Q169" s="34">
        <f t="shared" si="9"/>
        <v>0.29775280898876405</v>
      </c>
      <c r="R169" s="35" t="str">
        <f t="shared" si="10"/>
        <v/>
      </c>
      <c r="S169" s="32" t="str">
        <f>IF(AND(L169&gt;=INDEX(Succès!$D$10:$D$13,MATCH(A169,Succès!$A$10:$A$13,0)),P169&gt;=INDEX(Succès!$E$10:$E$13,MATCH(A169,Succès!$A$10:$A$13,0))),"Succès complet",IF(P169&gt;=INDEX(Succès!$E$10:$E$13,MATCH(A169,Succès!$A$10:$A$13,0)),"Engagé, portée modeste",IF(L169&gt;=INDEX(Succès!$D$10:$D$13,MATCH(A169,Succès!$A$10:$A$13,0)),"Portée sans engagement","Standard")))</f>
        <v>Succès complet</v>
      </c>
      <c r="T169" s="32">
        <f t="shared" si="11"/>
        <v>1</v>
      </c>
    </row>
    <row r="170" spans="1:20">
      <c r="A170" s="32" t="s">
        <v>43</v>
      </c>
      <c r="B170" s="32" t="s">
        <v>634</v>
      </c>
      <c r="C170" s="32" t="s">
        <v>635</v>
      </c>
      <c r="D170" s="32"/>
      <c r="E170" s="32" t="s">
        <v>93</v>
      </c>
      <c r="F170" s="32" t="s">
        <v>505</v>
      </c>
      <c r="G170" s="33"/>
      <c r="H170" s="32">
        <v>15</v>
      </c>
      <c r="I170" s="32">
        <v>4</v>
      </c>
      <c r="J170" s="32">
        <v>52</v>
      </c>
      <c r="K170" s="32">
        <v>1</v>
      </c>
      <c r="L170" s="33">
        <v>8600000</v>
      </c>
      <c r="M170" s="33">
        <v>1300000</v>
      </c>
      <c r="N170" s="33">
        <v>12700</v>
      </c>
      <c r="O170" s="33">
        <v>41800</v>
      </c>
      <c r="P170" s="34">
        <f t="shared" si="8"/>
        <v>0.1575</v>
      </c>
      <c r="Q170" s="34">
        <f t="shared" si="9"/>
        <v>0.15116279069767441</v>
      </c>
      <c r="R170" s="35" t="str">
        <f t="shared" si="10"/>
        <v/>
      </c>
      <c r="S170" s="32" t="str">
        <f>IF(AND(L170&gt;=INDEX(Succès!$D$10:$D$13,MATCH(A170,Succès!$A$10:$A$13,0)),P170&gt;=INDEX(Succès!$E$10:$E$13,MATCH(A170,Succès!$A$10:$A$13,0))),"Succès complet",IF(P170&gt;=INDEX(Succès!$E$10:$E$13,MATCH(A170,Succès!$A$10:$A$13,0)),"Engagé, portée modeste",IF(L170&gt;=INDEX(Succès!$D$10:$D$13,MATCH(A170,Succès!$A$10:$A$13,0)),"Portée sans engagement","Standard")))</f>
        <v>Portée sans engagement</v>
      </c>
      <c r="T170" s="32">
        <f t="shared" si="11"/>
        <v>0</v>
      </c>
    </row>
    <row r="171" spans="1:20">
      <c r="A171" s="32" t="s">
        <v>43</v>
      </c>
      <c r="B171" s="32" t="s">
        <v>636</v>
      </c>
      <c r="C171" s="32" t="s">
        <v>637</v>
      </c>
      <c r="D171" s="32"/>
      <c r="E171" s="32" t="s">
        <v>93</v>
      </c>
      <c r="F171" s="32" t="s">
        <v>505</v>
      </c>
      <c r="G171" s="33"/>
      <c r="H171" s="32">
        <v>10</v>
      </c>
      <c r="I171" s="32">
        <v>0</v>
      </c>
      <c r="J171" s="32">
        <v>64</v>
      </c>
      <c r="K171" s="32">
        <v>0</v>
      </c>
      <c r="L171" s="33">
        <v>10900000</v>
      </c>
      <c r="M171" s="33">
        <v>2900000</v>
      </c>
      <c r="N171" s="33">
        <v>10700</v>
      </c>
      <c r="O171" s="33">
        <v>10200</v>
      </c>
      <c r="P171" s="34">
        <f t="shared" si="8"/>
        <v>0.26797247706422017</v>
      </c>
      <c r="Q171" s="34">
        <f t="shared" si="9"/>
        <v>0.26605504587155965</v>
      </c>
      <c r="R171" s="35" t="str">
        <f t="shared" si="10"/>
        <v/>
      </c>
      <c r="S171" s="32" t="str">
        <f>IF(AND(L171&gt;=INDEX(Succès!$D$10:$D$13,MATCH(A171,Succès!$A$10:$A$13,0)),P171&gt;=INDEX(Succès!$E$10:$E$13,MATCH(A171,Succès!$A$10:$A$13,0))),"Succès complet",IF(P171&gt;=INDEX(Succès!$E$10:$E$13,MATCH(A171,Succès!$A$10:$A$13,0)),"Engagé, portée modeste",IF(L171&gt;=INDEX(Succès!$D$10:$D$13,MATCH(A171,Succès!$A$10:$A$13,0)),"Portée sans engagement","Standard")))</f>
        <v>Succès complet</v>
      </c>
      <c r="T171" s="32">
        <f t="shared" si="11"/>
        <v>1</v>
      </c>
    </row>
    <row r="172" spans="1:20">
      <c r="A172" s="32" t="s">
        <v>43</v>
      </c>
      <c r="B172" s="32" t="s">
        <v>638</v>
      </c>
      <c r="C172" s="32" t="s">
        <v>639</v>
      </c>
      <c r="D172" s="32"/>
      <c r="E172" s="32" t="s">
        <v>93</v>
      </c>
      <c r="F172" s="32" t="s">
        <v>505</v>
      </c>
      <c r="G172" s="33"/>
      <c r="H172" s="32">
        <v>11</v>
      </c>
      <c r="I172" s="32">
        <v>4</v>
      </c>
      <c r="J172" s="32">
        <v>57</v>
      </c>
      <c r="K172" s="32">
        <v>1</v>
      </c>
      <c r="L172" s="33">
        <v>5300000</v>
      </c>
      <c r="M172" s="33">
        <v>928700</v>
      </c>
      <c r="N172" s="33">
        <v>39400</v>
      </c>
      <c r="O172" s="33">
        <v>46800</v>
      </c>
      <c r="P172" s="34">
        <f t="shared" si="8"/>
        <v>0.19149056603773584</v>
      </c>
      <c r="Q172" s="34">
        <f t="shared" si="9"/>
        <v>0.17522641509433962</v>
      </c>
      <c r="R172" s="35" t="str">
        <f t="shared" si="10"/>
        <v/>
      </c>
      <c r="S172" s="32" t="str">
        <f>IF(AND(L172&gt;=INDEX(Succès!$D$10:$D$13,MATCH(A172,Succès!$A$10:$A$13,0)),P172&gt;=INDEX(Succès!$E$10:$E$13,MATCH(A172,Succès!$A$10:$A$13,0))),"Succès complet",IF(P172&gt;=INDEX(Succès!$E$10:$E$13,MATCH(A172,Succès!$A$10:$A$13,0)),"Engagé, portée modeste",IF(L172&gt;=INDEX(Succès!$D$10:$D$13,MATCH(A172,Succès!$A$10:$A$13,0)),"Portée sans engagement","Standard")))</f>
        <v>Engagé, portée modeste</v>
      </c>
      <c r="T172" s="32">
        <f t="shared" si="11"/>
        <v>0</v>
      </c>
    </row>
    <row r="173" spans="1:20">
      <c r="A173" s="32" t="s">
        <v>43</v>
      </c>
      <c r="B173" s="32" t="s">
        <v>640</v>
      </c>
      <c r="C173" s="32" t="s">
        <v>641</v>
      </c>
      <c r="D173" s="32"/>
      <c r="E173" s="32" t="s">
        <v>93</v>
      </c>
      <c r="F173" s="32" t="s">
        <v>505</v>
      </c>
      <c r="G173" s="33"/>
      <c r="H173" s="32">
        <v>11</v>
      </c>
      <c r="I173" s="32">
        <v>3</v>
      </c>
      <c r="J173" s="32">
        <v>53</v>
      </c>
      <c r="K173" s="32">
        <v>0</v>
      </c>
      <c r="L173" s="33">
        <v>6200000</v>
      </c>
      <c r="M173" s="33">
        <v>1100000</v>
      </c>
      <c r="N173" s="33">
        <v>3503</v>
      </c>
      <c r="O173" s="33">
        <v>1629</v>
      </c>
      <c r="P173" s="34">
        <f t="shared" si="8"/>
        <v>0.17824709677419354</v>
      </c>
      <c r="Q173" s="34">
        <f t="shared" si="9"/>
        <v>0.17741935483870969</v>
      </c>
      <c r="R173" s="35" t="str">
        <f t="shared" si="10"/>
        <v/>
      </c>
      <c r="S173" s="32" t="str">
        <f>IF(AND(L173&gt;=INDEX(Succès!$D$10:$D$13,MATCH(A173,Succès!$A$10:$A$13,0)),P173&gt;=INDEX(Succès!$E$10:$E$13,MATCH(A173,Succès!$A$10:$A$13,0))),"Succès complet",IF(P173&gt;=INDEX(Succès!$E$10:$E$13,MATCH(A173,Succès!$A$10:$A$13,0)),"Engagé, portée modeste",IF(L173&gt;=INDEX(Succès!$D$10:$D$13,MATCH(A173,Succès!$A$10:$A$13,0)),"Portée sans engagement","Standard")))</f>
        <v>Portée sans engagement</v>
      </c>
      <c r="T173" s="32">
        <f t="shared" si="11"/>
        <v>0</v>
      </c>
    </row>
    <row r="174" spans="1:20">
      <c r="A174" s="32" t="s">
        <v>43</v>
      </c>
      <c r="B174" s="32" t="s">
        <v>642</v>
      </c>
      <c r="C174" s="32" t="s">
        <v>643</v>
      </c>
      <c r="D174" s="32"/>
      <c r="E174" s="32" t="s">
        <v>93</v>
      </c>
      <c r="F174" s="32" t="s">
        <v>505</v>
      </c>
      <c r="G174" s="33"/>
      <c r="H174" s="32">
        <v>15</v>
      </c>
      <c r="I174" s="32">
        <v>6</v>
      </c>
      <c r="J174" s="32">
        <v>52</v>
      </c>
      <c r="K174" s="32">
        <v>1</v>
      </c>
      <c r="L174" s="33">
        <v>19500000</v>
      </c>
      <c r="M174" s="33">
        <v>5300000</v>
      </c>
      <c r="N174" s="33">
        <v>74900</v>
      </c>
      <c r="O174" s="33">
        <v>208800</v>
      </c>
      <c r="P174" s="34">
        <f t="shared" si="8"/>
        <v>0.28634358974358975</v>
      </c>
      <c r="Q174" s="34">
        <f t="shared" si="9"/>
        <v>0.27179487179487177</v>
      </c>
      <c r="R174" s="35" t="str">
        <f t="shared" si="10"/>
        <v/>
      </c>
      <c r="S174" s="32" t="str">
        <f>IF(AND(L174&gt;=INDEX(Succès!$D$10:$D$13,MATCH(A174,Succès!$A$10:$A$13,0)),P174&gt;=INDEX(Succès!$E$10:$E$13,MATCH(A174,Succès!$A$10:$A$13,0))),"Succès complet",IF(P174&gt;=INDEX(Succès!$E$10:$E$13,MATCH(A174,Succès!$A$10:$A$13,0)),"Engagé, portée modeste",IF(L174&gt;=INDEX(Succès!$D$10:$D$13,MATCH(A174,Succès!$A$10:$A$13,0)),"Portée sans engagement","Standard")))</f>
        <v>Succès complet</v>
      </c>
      <c r="T174" s="32">
        <f t="shared" si="11"/>
        <v>1</v>
      </c>
    </row>
    <row r="175" spans="1:20">
      <c r="A175" s="32" t="s">
        <v>43</v>
      </c>
      <c r="B175" s="32" t="s">
        <v>644</v>
      </c>
      <c r="C175" s="32" t="s">
        <v>645</v>
      </c>
      <c r="D175" s="32"/>
      <c r="E175" s="32" t="s">
        <v>93</v>
      </c>
      <c r="F175" s="32" t="s">
        <v>505</v>
      </c>
      <c r="G175" s="33"/>
      <c r="H175" s="32">
        <v>6</v>
      </c>
      <c r="I175" s="32">
        <v>3</v>
      </c>
      <c r="J175" s="32">
        <v>50</v>
      </c>
      <c r="K175" s="32">
        <v>1</v>
      </c>
      <c r="L175" s="33">
        <v>11000000</v>
      </c>
      <c r="M175" s="33">
        <v>1800000</v>
      </c>
      <c r="N175" s="33">
        <v>24900</v>
      </c>
      <c r="O175" s="33">
        <v>37700</v>
      </c>
      <c r="P175" s="34">
        <f t="shared" si="8"/>
        <v>0.16932727272727272</v>
      </c>
      <c r="Q175" s="34">
        <f t="shared" si="9"/>
        <v>0.16363636363636364</v>
      </c>
      <c r="R175" s="35" t="str">
        <f t="shared" si="10"/>
        <v/>
      </c>
      <c r="S175" s="32" t="str">
        <f>IF(AND(L175&gt;=INDEX(Succès!$D$10:$D$13,MATCH(A175,Succès!$A$10:$A$13,0)),P175&gt;=INDEX(Succès!$E$10:$E$13,MATCH(A175,Succès!$A$10:$A$13,0))),"Succès complet",IF(P175&gt;=INDEX(Succès!$E$10:$E$13,MATCH(A175,Succès!$A$10:$A$13,0)),"Engagé, portée modeste",IF(L175&gt;=INDEX(Succès!$D$10:$D$13,MATCH(A175,Succès!$A$10:$A$13,0)),"Portée sans engagement","Standard")))</f>
        <v>Portée sans engagement</v>
      </c>
      <c r="T175" s="32">
        <f t="shared" si="11"/>
        <v>0</v>
      </c>
    </row>
    <row r="176" spans="1:20">
      <c r="A176" s="32" t="s">
        <v>43</v>
      </c>
      <c r="B176" s="32" t="s">
        <v>646</v>
      </c>
      <c r="C176" s="32" t="s">
        <v>647</v>
      </c>
      <c r="D176" s="32"/>
      <c r="E176" s="32" t="s">
        <v>93</v>
      </c>
      <c r="F176" s="32" t="s">
        <v>505</v>
      </c>
      <c r="G176" s="33"/>
      <c r="H176" s="32">
        <v>23</v>
      </c>
      <c r="I176" s="32">
        <v>1</v>
      </c>
      <c r="J176" s="32">
        <v>84</v>
      </c>
      <c r="K176" s="32">
        <v>0</v>
      </c>
      <c r="L176" s="33">
        <v>13100000</v>
      </c>
      <c r="M176" s="33">
        <v>3300000</v>
      </c>
      <c r="N176" s="33">
        <v>40700</v>
      </c>
      <c r="O176" s="33">
        <v>30400</v>
      </c>
      <c r="P176" s="34">
        <f t="shared" si="8"/>
        <v>0.25733587786259543</v>
      </c>
      <c r="Q176" s="34">
        <f t="shared" si="9"/>
        <v>0.25190839694656486</v>
      </c>
      <c r="R176" s="35" t="str">
        <f t="shared" si="10"/>
        <v/>
      </c>
      <c r="S176" s="32" t="str">
        <f>IF(AND(L176&gt;=INDEX(Succès!$D$10:$D$13,MATCH(A176,Succès!$A$10:$A$13,0)),P176&gt;=INDEX(Succès!$E$10:$E$13,MATCH(A176,Succès!$A$10:$A$13,0))),"Succès complet",IF(P176&gt;=INDEX(Succès!$E$10:$E$13,MATCH(A176,Succès!$A$10:$A$13,0)),"Engagé, portée modeste",IF(L176&gt;=INDEX(Succès!$D$10:$D$13,MATCH(A176,Succès!$A$10:$A$13,0)),"Portée sans engagement","Standard")))</f>
        <v>Succès complet</v>
      </c>
      <c r="T176" s="32">
        <f t="shared" si="11"/>
        <v>1</v>
      </c>
    </row>
    <row r="177" spans="1:20">
      <c r="A177" s="32" t="s">
        <v>43</v>
      </c>
      <c r="B177" s="32" t="s">
        <v>648</v>
      </c>
      <c r="C177" s="32" t="s">
        <v>649</v>
      </c>
      <c r="D177" s="32"/>
      <c r="E177" s="32" t="s">
        <v>93</v>
      </c>
      <c r="F177" s="32" t="s">
        <v>505</v>
      </c>
      <c r="G177" s="33"/>
      <c r="H177" s="32">
        <v>8</v>
      </c>
      <c r="I177" s="32">
        <v>0</v>
      </c>
      <c r="J177" s="32">
        <v>0</v>
      </c>
      <c r="K177" s="32">
        <v>0</v>
      </c>
      <c r="L177" s="33">
        <v>9300000</v>
      </c>
      <c r="M177" s="33">
        <v>1500000</v>
      </c>
      <c r="N177" s="33">
        <v>25200</v>
      </c>
      <c r="O177" s="33">
        <v>62500</v>
      </c>
      <c r="P177" s="34">
        <f t="shared" si="8"/>
        <v>0.17072043010752688</v>
      </c>
      <c r="Q177" s="34">
        <f t="shared" si="9"/>
        <v>0.16129032258064516</v>
      </c>
      <c r="R177" s="35" t="str">
        <f t="shared" si="10"/>
        <v/>
      </c>
      <c r="S177" s="32" t="str">
        <f>IF(AND(L177&gt;=INDEX(Succès!$D$10:$D$13,MATCH(A177,Succès!$A$10:$A$13,0)),P177&gt;=INDEX(Succès!$E$10:$E$13,MATCH(A177,Succès!$A$10:$A$13,0))),"Succès complet",IF(P177&gt;=INDEX(Succès!$E$10:$E$13,MATCH(A177,Succès!$A$10:$A$13,0)),"Engagé, portée modeste",IF(L177&gt;=INDEX(Succès!$D$10:$D$13,MATCH(A177,Succès!$A$10:$A$13,0)),"Portée sans engagement","Standard")))</f>
        <v>Portée sans engagement</v>
      </c>
      <c r="T177" s="32">
        <f t="shared" si="11"/>
        <v>0</v>
      </c>
    </row>
    <row r="178" spans="1:20">
      <c r="A178" s="32" t="s">
        <v>43</v>
      </c>
      <c r="B178" s="32" t="s">
        <v>650</v>
      </c>
      <c r="C178" s="32" t="s">
        <v>651</v>
      </c>
      <c r="D178" s="32"/>
      <c r="E178" s="32" t="s">
        <v>93</v>
      </c>
      <c r="F178" s="32" t="s">
        <v>505</v>
      </c>
      <c r="G178" s="33"/>
      <c r="H178" s="32">
        <v>36</v>
      </c>
      <c r="I178" s="32">
        <v>5</v>
      </c>
      <c r="J178" s="32">
        <v>114</v>
      </c>
      <c r="K178" s="32">
        <v>1</v>
      </c>
      <c r="L178" s="33">
        <v>6100000</v>
      </c>
      <c r="M178" s="33">
        <v>1500000</v>
      </c>
      <c r="N178" s="33">
        <v>23400</v>
      </c>
      <c r="O178" s="33">
        <v>38600</v>
      </c>
      <c r="P178" s="34">
        <f t="shared" si="8"/>
        <v>0.25606557377049183</v>
      </c>
      <c r="Q178" s="34">
        <f t="shared" si="9"/>
        <v>0.24590163934426229</v>
      </c>
      <c r="R178" s="35" t="str">
        <f t="shared" si="10"/>
        <v/>
      </c>
      <c r="S178" s="32" t="str">
        <f>IF(AND(L178&gt;=INDEX(Succès!$D$10:$D$13,MATCH(A178,Succès!$A$10:$A$13,0)),P178&gt;=INDEX(Succès!$E$10:$E$13,MATCH(A178,Succès!$A$10:$A$13,0))),"Succès complet",IF(P178&gt;=INDEX(Succès!$E$10:$E$13,MATCH(A178,Succès!$A$10:$A$13,0)),"Engagé, portée modeste",IF(L178&gt;=INDEX(Succès!$D$10:$D$13,MATCH(A178,Succès!$A$10:$A$13,0)),"Portée sans engagement","Standard")))</f>
        <v>Succès complet</v>
      </c>
      <c r="T178" s="32">
        <f t="shared" si="11"/>
        <v>1</v>
      </c>
    </row>
    <row r="179" spans="1:20">
      <c r="A179" s="32" t="s">
        <v>43</v>
      </c>
      <c r="B179" s="32" t="s">
        <v>652</v>
      </c>
      <c r="C179" s="32" t="s">
        <v>653</v>
      </c>
      <c r="D179" s="32"/>
      <c r="E179" s="32" t="s">
        <v>93</v>
      </c>
      <c r="F179" s="32" t="s">
        <v>505</v>
      </c>
      <c r="G179" s="33"/>
      <c r="H179" s="32">
        <v>15</v>
      </c>
      <c r="I179" s="32">
        <v>0</v>
      </c>
      <c r="J179" s="32">
        <v>15</v>
      </c>
      <c r="K179" s="32">
        <v>0</v>
      </c>
      <c r="L179" s="33">
        <v>13300000</v>
      </c>
      <c r="M179" s="33">
        <v>4200000</v>
      </c>
      <c r="N179" s="33">
        <v>88300</v>
      </c>
      <c r="O179" s="33">
        <v>213700</v>
      </c>
      <c r="P179" s="34">
        <f t="shared" si="8"/>
        <v>0.33849624060150374</v>
      </c>
      <c r="Q179" s="34">
        <f t="shared" si="9"/>
        <v>0.31578947368421051</v>
      </c>
      <c r="R179" s="35" t="str">
        <f t="shared" si="10"/>
        <v/>
      </c>
      <c r="S179" s="32" t="str">
        <f>IF(AND(L179&gt;=INDEX(Succès!$D$10:$D$13,MATCH(A179,Succès!$A$10:$A$13,0)),P179&gt;=INDEX(Succès!$E$10:$E$13,MATCH(A179,Succès!$A$10:$A$13,0))),"Succès complet",IF(P179&gt;=INDEX(Succès!$E$10:$E$13,MATCH(A179,Succès!$A$10:$A$13,0)),"Engagé, portée modeste",IF(L179&gt;=INDEX(Succès!$D$10:$D$13,MATCH(A179,Succès!$A$10:$A$13,0)),"Portée sans engagement","Standard")))</f>
        <v>Succès complet</v>
      </c>
      <c r="T179" s="32">
        <f t="shared" si="11"/>
        <v>1</v>
      </c>
    </row>
    <row r="180" spans="1:20">
      <c r="A180" s="32" t="s">
        <v>43</v>
      </c>
      <c r="B180" s="32" t="s">
        <v>654</v>
      </c>
      <c r="C180" s="32" t="s">
        <v>655</v>
      </c>
      <c r="D180" s="32"/>
      <c r="E180" s="32" t="s">
        <v>93</v>
      </c>
      <c r="F180" s="32" t="s">
        <v>505</v>
      </c>
      <c r="G180" s="33"/>
      <c r="H180" s="32">
        <v>42</v>
      </c>
      <c r="I180" s="32">
        <v>1</v>
      </c>
      <c r="J180" s="32">
        <v>48</v>
      </c>
      <c r="K180" s="32">
        <v>0</v>
      </c>
      <c r="L180" s="33">
        <v>9500000</v>
      </c>
      <c r="M180" s="33">
        <v>2100000</v>
      </c>
      <c r="N180" s="33">
        <v>31000</v>
      </c>
      <c r="O180" s="33">
        <v>26000</v>
      </c>
      <c r="P180" s="34">
        <f t="shared" si="8"/>
        <v>0.22705263157894737</v>
      </c>
      <c r="Q180" s="34">
        <f t="shared" si="9"/>
        <v>0.22105263157894736</v>
      </c>
      <c r="R180" s="35" t="str">
        <f t="shared" si="10"/>
        <v/>
      </c>
      <c r="S180" s="32" t="str">
        <f>IF(AND(L180&gt;=INDEX(Succès!$D$10:$D$13,MATCH(A180,Succès!$A$10:$A$13,0)),P180&gt;=INDEX(Succès!$E$10:$E$13,MATCH(A180,Succès!$A$10:$A$13,0))),"Succès complet",IF(P180&gt;=INDEX(Succès!$E$10:$E$13,MATCH(A180,Succès!$A$10:$A$13,0)),"Engagé, portée modeste",IF(L180&gt;=INDEX(Succès!$D$10:$D$13,MATCH(A180,Succès!$A$10:$A$13,0)),"Portée sans engagement","Standard")))</f>
        <v>Succès complet</v>
      </c>
      <c r="T180" s="32">
        <f t="shared" si="11"/>
        <v>1</v>
      </c>
    </row>
    <row r="181" spans="1:20">
      <c r="A181" s="32" t="s">
        <v>43</v>
      </c>
      <c r="B181" s="32" t="s">
        <v>656</v>
      </c>
      <c r="C181" s="32" t="s">
        <v>657</v>
      </c>
      <c r="D181" s="32"/>
      <c r="E181" s="32" t="s">
        <v>93</v>
      </c>
      <c r="F181" s="32" t="s">
        <v>505</v>
      </c>
      <c r="G181" s="33"/>
      <c r="H181" s="32">
        <v>9</v>
      </c>
      <c r="I181" s="32">
        <v>0</v>
      </c>
      <c r="J181" s="32">
        <v>60</v>
      </c>
      <c r="K181" s="32">
        <v>0</v>
      </c>
      <c r="L181" s="33">
        <v>22900000</v>
      </c>
      <c r="M181" s="33">
        <v>5200000</v>
      </c>
      <c r="N181" s="33">
        <v>96600</v>
      </c>
      <c r="O181" s="33">
        <v>112600</v>
      </c>
      <c r="P181" s="34">
        <f t="shared" si="8"/>
        <v>0.23620960698689955</v>
      </c>
      <c r="Q181" s="34">
        <f t="shared" si="9"/>
        <v>0.22707423580786026</v>
      </c>
      <c r="R181" s="35" t="str">
        <f t="shared" si="10"/>
        <v/>
      </c>
      <c r="S181" s="32" t="str">
        <f>IF(AND(L181&gt;=INDEX(Succès!$D$10:$D$13,MATCH(A181,Succès!$A$10:$A$13,0)),P181&gt;=INDEX(Succès!$E$10:$E$13,MATCH(A181,Succès!$A$10:$A$13,0))),"Succès complet",IF(P181&gt;=INDEX(Succès!$E$10:$E$13,MATCH(A181,Succès!$A$10:$A$13,0)),"Engagé, portée modeste",IF(L181&gt;=INDEX(Succès!$D$10:$D$13,MATCH(A181,Succès!$A$10:$A$13,0)),"Portée sans engagement","Standard")))</f>
        <v>Succès complet</v>
      </c>
      <c r="T181" s="32">
        <f t="shared" si="11"/>
        <v>1</v>
      </c>
    </row>
    <row r="182" spans="1:20">
      <c r="A182" s="32" t="s">
        <v>43</v>
      </c>
      <c r="B182" s="32" t="s">
        <v>658</v>
      </c>
      <c r="C182" s="32" t="s">
        <v>659</v>
      </c>
      <c r="D182" s="32"/>
      <c r="E182" s="32" t="s">
        <v>93</v>
      </c>
      <c r="F182" s="32" t="s">
        <v>505</v>
      </c>
      <c r="G182" s="33"/>
      <c r="H182" s="32">
        <v>11</v>
      </c>
      <c r="I182" s="32">
        <v>0</v>
      </c>
      <c r="J182" s="32">
        <v>15</v>
      </c>
      <c r="K182" s="32">
        <v>0</v>
      </c>
      <c r="L182" s="33">
        <v>91500000</v>
      </c>
      <c r="M182" s="33">
        <v>16000000</v>
      </c>
      <c r="N182" s="33">
        <v>134400</v>
      </c>
      <c r="O182" s="33">
        <v>248300</v>
      </c>
      <c r="P182" s="34">
        <f t="shared" si="8"/>
        <v>0.17904590163934425</v>
      </c>
      <c r="Q182" s="34">
        <f t="shared" si="9"/>
        <v>0.17486338797814208</v>
      </c>
      <c r="R182" s="35" t="str">
        <f t="shared" si="10"/>
        <v/>
      </c>
      <c r="S182" s="32" t="str">
        <f>IF(AND(L182&gt;=INDEX(Succès!$D$10:$D$13,MATCH(A182,Succès!$A$10:$A$13,0)),P182&gt;=INDEX(Succès!$E$10:$E$13,MATCH(A182,Succès!$A$10:$A$13,0))),"Succès complet",IF(P182&gt;=INDEX(Succès!$E$10:$E$13,MATCH(A182,Succès!$A$10:$A$13,0)),"Engagé, portée modeste",IF(L182&gt;=INDEX(Succès!$D$10:$D$13,MATCH(A182,Succès!$A$10:$A$13,0)),"Portée sans engagement","Standard")))</f>
        <v>Portée sans engagement</v>
      </c>
      <c r="T182" s="32">
        <f t="shared" si="11"/>
        <v>0</v>
      </c>
    </row>
    <row r="183" spans="1:20">
      <c r="A183" s="32" t="s">
        <v>43</v>
      </c>
      <c r="B183" s="32" t="s">
        <v>660</v>
      </c>
      <c r="C183" s="32" t="s">
        <v>661</v>
      </c>
      <c r="D183" s="32"/>
      <c r="E183" s="32" t="s">
        <v>93</v>
      </c>
      <c r="F183" s="32" t="s">
        <v>505</v>
      </c>
      <c r="G183" s="33"/>
      <c r="H183" s="32">
        <v>15</v>
      </c>
      <c r="I183" s="32">
        <v>2</v>
      </c>
      <c r="J183" s="32">
        <v>62</v>
      </c>
      <c r="K183" s="32">
        <v>0</v>
      </c>
      <c r="L183" s="33">
        <v>1500000</v>
      </c>
      <c r="M183" s="33">
        <v>284400</v>
      </c>
      <c r="N183" s="33">
        <v>1283</v>
      </c>
      <c r="O183" s="33">
        <v>1380</v>
      </c>
      <c r="P183" s="34">
        <f t="shared" si="8"/>
        <v>0.19137533333333334</v>
      </c>
      <c r="Q183" s="34">
        <f t="shared" si="9"/>
        <v>0.18959999999999999</v>
      </c>
      <c r="R183" s="35" t="str">
        <f t="shared" si="10"/>
        <v/>
      </c>
      <c r="S183" s="32" t="str">
        <f>IF(AND(L183&gt;=INDEX(Succès!$D$10:$D$13,MATCH(A183,Succès!$A$10:$A$13,0)),P183&gt;=INDEX(Succès!$E$10:$E$13,MATCH(A183,Succès!$A$10:$A$13,0))),"Succès complet",IF(P183&gt;=INDEX(Succès!$E$10:$E$13,MATCH(A183,Succès!$A$10:$A$13,0)),"Engagé, portée modeste",IF(L183&gt;=INDEX(Succès!$D$10:$D$13,MATCH(A183,Succès!$A$10:$A$13,0)),"Portée sans engagement","Standard")))</f>
        <v>Engagé, portée modeste</v>
      </c>
      <c r="T183" s="32">
        <f t="shared" si="11"/>
        <v>0</v>
      </c>
    </row>
    <row r="184" spans="1:20">
      <c r="A184" s="32" t="s">
        <v>43</v>
      </c>
      <c r="B184" s="32" t="s">
        <v>662</v>
      </c>
      <c r="C184" s="32" t="s">
        <v>663</v>
      </c>
      <c r="D184" s="32"/>
      <c r="E184" s="32" t="s">
        <v>93</v>
      </c>
      <c r="F184" s="32" t="s">
        <v>505</v>
      </c>
      <c r="G184" s="33"/>
      <c r="H184" s="32">
        <v>12</v>
      </c>
      <c r="I184" s="32">
        <v>11</v>
      </c>
      <c r="J184" s="32">
        <v>128</v>
      </c>
      <c r="K184" s="32">
        <v>0</v>
      </c>
      <c r="L184" s="33">
        <v>9000000</v>
      </c>
      <c r="M184" s="33">
        <v>2000000</v>
      </c>
      <c r="N184" s="33">
        <v>4425</v>
      </c>
      <c r="O184" s="33">
        <v>13600</v>
      </c>
      <c r="P184" s="34">
        <f t="shared" si="8"/>
        <v>0.22422500000000001</v>
      </c>
      <c r="Q184" s="34">
        <f t="shared" si="9"/>
        <v>0.22222222222222221</v>
      </c>
      <c r="R184" s="35" t="str">
        <f t="shared" si="10"/>
        <v/>
      </c>
      <c r="S184" s="32" t="str">
        <f>IF(AND(L184&gt;=INDEX(Succès!$D$10:$D$13,MATCH(A184,Succès!$A$10:$A$13,0)),P184&gt;=INDEX(Succès!$E$10:$E$13,MATCH(A184,Succès!$A$10:$A$13,0))),"Succès complet",IF(P184&gt;=INDEX(Succès!$E$10:$E$13,MATCH(A184,Succès!$A$10:$A$13,0)),"Engagé, portée modeste",IF(L184&gt;=INDEX(Succès!$D$10:$D$13,MATCH(A184,Succès!$A$10:$A$13,0)),"Portée sans engagement","Standard")))</f>
        <v>Succès complet</v>
      </c>
      <c r="T184" s="32">
        <f t="shared" si="11"/>
        <v>1</v>
      </c>
    </row>
    <row r="185" spans="1:20">
      <c r="A185" s="32" t="s">
        <v>43</v>
      </c>
      <c r="B185" s="32" t="s">
        <v>664</v>
      </c>
      <c r="C185" s="32" t="s">
        <v>665</v>
      </c>
      <c r="D185" s="32"/>
      <c r="E185" s="32" t="s">
        <v>93</v>
      </c>
      <c r="F185" s="32" t="s">
        <v>505</v>
      </c>
      <c r="G185" s="33"/>
      <c r="H185" s="32">
        <v>53</v>
      </c>
      <c r="I185" s="32">
        <v>0</v>
      </c>
      <c r="J185" s="32">
        <v>37</v>
      </c>
      <c r="K185" s="32">
        <v>0</v>
      </c>
      <c r="L185" s="33">
        <v>1700000</v>
      </c>
      <c r="M185" s="33">
        <v>475400</v>
      </c>
      <c r="N185" s="33">
        <v>2246</v>
      </c>
      <c r="O185" s="33">
        <v>4665</v>
      </c>
      <c r="P185" s="34">
        <f t="shared" si="8"/>
        <v>0.28371235294117647</v>
      </c>
      <c r="Q185" s="34">
        <f t="shared" si="9"/>
        <v>0.27964705882352942</v>
      </c>
      <c r="R185" s="35" t="str">
        <f t="shared" si="10"/>
        <v/>
      </c>
      <c r="S185" s="32" t="str">
        <f>IF(AND(L185&gt;=INDEX(Succès!$D$10:$D$13,MATCH(A185,Succès!$A$10:$A$13,0)),P185&gt;=INDEX(Succès!$E$10:$E$13,MATCH(A185,Succès!$A$10:$A$13,0))),"Succès complet",IF(P185&gt;=INDEX(Succès!$E$10:$E$13,MATCH(A185,Succès!$A$10:$A$13,0)),"Engagé, portée modeste",IF(L185&gt;=INDEX(Succès!$D$10:$D$13,MATCH(A185,Succès!$A$10:$A$13,0)),"Portée sans engagement","Standard")))</f>
        <v>Engagé, portée modeste</v>
      </c>
      <c r="T185" s="32">
        <f t="shared" si="11"/>
        <v>0</v>
      </c>
    </row>
    <row r="186" spans="1:20">
      <c r="A186" s="32" t="s">
        <v>43</v>
      </c>
      <c r="B186" s="32" t="s">
        <v>666</v>
      </c>
      <c r="C186" s="32" t="s">
        <v>667</v>
      </c>
      <c r="D186" s="32"/>
      <c r="E186" s="32" t="s">
        <v>93</v>
      </c>
      <c r="F186" s="32" t="s">
        <v>505</v>
      </c>
      <c r="G186" s="33"/>
      <c r="H186" s="32">
        <v>16</v>
      </c>
      <c r="I186" s="32">
        <v>1</v>
      </c>
      <c r="J186" s="32">
        <v>129</v>
      </c>
      <c r="K186" s="32">
        <v>0</v>
      </c>
      <c r="L186" s="33">
        <v>4300000</v>
      </c>
      <c r="M186" s="33">
        <v>1300000</v>
      </c>
      <c r="N186" s="33">
        <v>17900</v>
      </c>
      <c r="O186" s="33">
        <v>29600</v>
      </c>
      <c r="P186" s="34">
        <f t="shared" si="8"/>
        <v>0.3133720930232558</v>
      </c>
      <c r="Q186" s="34">
        <f t="shared" si="9"/>
        <v>0.30232558139534882</v>
      </c>
      <c r="R186" s="35" t="str">
        <f t="shared" si="10"/>
        <v/>
      </c>
      <c r="S186" s="32" t="str">
        <f>IF(AND(L186&gt;=INDEX(Succès!$D$10:$D$13,MATCH(A186,Succès!$A$10:$A$13,0)),P186&gt;=INDEX(Succès!$E$10:$E$13,MATCH(A186,Succès!$A$10:$A$13,0))),"Succès complet",IF(P186&gt;=INDEX(Succès!$E$10:$E$13,MATCH(A186,Succès!$A$10:$A$13,0)),"Engagé, portée modeste",IF(L186&gt;=INDEX(Succès!$D$10:$D$13,MATCH(A186,Succès!$A$10:$A$13,0)),"Portée sans engagement","Standard")))</f>
        <v>Engagé, portée modeste</v>
      </c>
      <c r="T186" s="32">
        <f t="shared" si="11"/>
        <v>0</v>
      </c>
    </row>
    <row r="187" spans="1:20">
      <c r="A187" s="32" t="s">
        <v>43</v>
      </c>
      <c r="B187" s="32" t="s">
        <v>668</v>
      </c>
      <c r="C187" s="32" t="s">
        <v>669</v>
      </c>
      <c r="D187" s="32"/>
      <c r="E187" s="32" t="s">
        <v>93</v>
      </c>
      <c r="F187" s="32" t="s">
        <v>505</v>
      </c>
      <c r="G187" s="33"/>
      <c r="H187" s="32">
        <v>24</v>
      </c>
      <c r="I187" s="32">
        <v>1</v>
      </c>
      <c r="J187" s="32">
        <v>8</v>
      </c>
      <c r="K187" s="32">
        <v>0</v>
      </c>
      <c r="L187" s="33">
        <v>6400000</v>
      </c>
      <c r="M187" s="33">
        <v>594000</v>
      </c>
      <c r="N187" s="33">
        <v>8489</v>
      </c>
      <c r="O187" s="33">
        <v>5097</v>
      </c>
      <c r="P187" s="34">
        <f t="shared" si="8"/>
        <v>9.4935312499999994E-2</v>
      </c>
      <c r="Q187" s="34">
        <f t="shared" si="9"/>
        <v>9.2812500000000006E-2</v>
      </c>
      <c r="R187" s="35" t="str">
        <f t="shared" si="10"/>
        <v/>
      </c>
      <c r="S187" s="32" t="str">
        <f>IF(AND(L187&gt;=INDEX(Succès!$D$10:$D$13,MATCH(A187,Succès!$A$10:$A$13,0)),P187&gt;=INDEX(Succès!$E$10:$E$13,MATCH(A187,Succès!$A$10:$A$13,0))),"Succès complet",IF(P187&gt;=INDEX(Succès!$E$10:$E$13,MATCH(A187,Succès!$A$10:$A$13,0)),"Engagé, portée modeste",IF(L187&gt;=INDEX(Succès!$D$10:$D$13,MATCH(A187,Succès!$A$10:$A$13,0)),"Portée sans engagement","Standard")))</f>
        <v>Portée sans engagement</v>
      </c>
      <c r="T187" s="32">
        <f t="shared" si="11"/>
        <v>0</v>
      </c>
    </row>
    <row r="188" spans="1:20">
      <c r="A188" s="32" t="s">
        <v>43</v>
      </c>
      <c r="B188" s="32" t="s">
        <v>670</v>
      </c>
      <c r="C188" s="32" t="s">
        <v>671</v>
      </c>
      <c r="D188" s="32"/>
      <c r="E188" s="32" t="s">
        <v>93</v>
      </c>
      <c r="F188" s="32" t="s">
        <v>505</v>
      </c>
      <c r="G188" s="33"/>
      <c r="H188" s="32">
        <v>11</v>
      </c>
      <c r="I188" s="32">
        <v>0</v>
      </c>
      <c r="J188" s="32">
        <v>38</v>
      </c>
      <c r="K188" s="32">
        <v>0</v>
      </c>
      <c r="L188" s="33">
        <v>12900000</v>
      </c>
      <c r="M188" s="33">
        <v>3100000</v>
      </c>
      <c r="N188" s="33">
        <v>15800</v>
      </c>
      <c r="O188" s="33">
        <v>11200</v>
      </c>
      <c r="P188" s="34">
        <f t="shared" si="8"/>
        <v>0.24240310077519381</v>
      </c>
      <c r="Q188" s="34">
        <f t="shared" si="9"/>
        <v>0.24031007751937986</v>
      </c>
      <c r="R188" s="35" t="str">
        <f t="shared" si="10"/>
        <v/>
      </c>
      <c r="S188" s="32" t="str">
        <f>IF(AND(L188&gt;=INDEX(Succès!$D$10:$D$13,MATCH(A188,Succès!$A$10:$A$13,0)),P188&gt;=INDEX(Succès!$E$10:$E$13,MATCH(A188,Succès!$A$10:$A$13,0))),"Succès complet",IF(P188&gt;=INDEX(Succès!$E$10:$E$13,MATCH(A188,Succès!$A$10:$A$13,0)),"Engagé, portée modeste",IF(L188&gt;=INDEX(Succès!$D$10:$D$13,MATCH(A188,Succès!$A$10:$A$13,0)),"Portée sans engagement","Standard")))</f>
        <v>Succès complet</v>
      </c>
      <c r="T188" s="32">
        <f t="shared" si="11"/>
        <v>1</v>
      </c>
    </row>
    <row r="189" spans="1:20">
      <c r="A189" s="32" t="s">
        <v>43</v>
      </c>
      <c r="B189" s="32" t="s">
        <v>672</v>
      </c>
      <c r="C189" s="32" t="s">
        <v>673</v>
      </c>
      <c r="D189" s="32"/>
      <c r="E189" s="32" t="s">
        <v>93</v>
      </c>
      <c r="F189" s="32" t="s">
        <v>505</v>
      </c>
      <c r="G189" s="33"/>
      <c r="H189" s="32">
        <v>12</v>
      </c>
      <c r="I189" s="32">
        <v>3</v>
      </c>
      <c r="J189" s="32">
        <v>61</v>
      </c>
      <c r="K189" s="32">
        <v>1</v>
      </c>
      <c r="L189" s="33">
        <v>20600000</v>
      </c>
      <c r="M189" s="33">
        <v>4700000</v>
      </c>
      <c r="N189" s="33">
        <v>80400</v>
      </c>
      <c r="O189" s="33">
        <v>186100</v>
      </c>
      <c r="P189" s="34">
        <f t="shared" si="8"/>
        <v>0.24109223300970875</v>
      </c>
      <c r="Q189" s="34">
        <f t="shared" si="9"/>
        <v>0.22815533980582525</v>
      </c>
      <c r="R189" s="35" t="str">
        <f t="shared" si="10"/>
        <v/>
      </c>
      <c r="S189" s="32" t="str">
        <f>IF(AND(L189&gt;=INDEX(Succès!$D$10:$D$13,MATCH(A189,Succès!$A$10:$A$13,0)),P189&gt;=INDEX(Succès!$E$10:$E$13,MATCH(A189,Succès!$A$10:$A$13,0))),"Succès complet",IF(P189&gt;=INDEX(Succès!$E$10:$E$13,MATCH(A189,Succès!$A$10:$A$13,0)),"Engagé, portée modeste",IF(L189&gt;=INDEX(Succès!$D$10:$D$13,MATCH(A189,Succès!$A$10:$A$13,0)),"Portée sans engagement","Standard")))</f>
        <v>Succès complet</v>
      </c>
      <c r="T189" s="32">
        <f t="shared" si="11"/>
        <v>1</v>
      </c>
    </row>
    <row r="190" spans="1:20">
      <c r="A190" s="32" t="s">
        <v>43</v>
      </c>
      <c r="B190" s="32" t="s">
        <v>674</v>
      </c>
      <c r="C190" s="32" t="s">
        <v>675</v>
      </c>
      <c r="D190" s="32"/>
      <c r="E190" s="32" t="s">
        <v>93</v>
      </c>
      <c r="F190" s="32" t="s">
        <v>505</v>
      </c>
      <c r="G190" s="33"/>
      <c r="H190" s="32">
        <v>58</v>
      </c>
      <c r="I190" s="32">
        <v>1</v>
      </c>
      <c r="J190" s="32">
        <v>61</v>
      </c>
      <c r="K190" s="32">
        <v>0</v>
      </c>
      <c r="L190" s="33">
        <v>1400000</v>
      </c>
      <c r="M190" s="33">
        <v>293800</v>
      </c>
      <c r="N190" s="33">
        <v>6947</v>
      </c>
      <c r="O190" s="33">
        <v>18300</v>
      </c>
      <c r="P190" s="34">
        <f t="shared" si="8"/>
        <v>0.22789071428571428</v>
      </c>
      <c r="Q190" s="34">
        <f t="shared" si="9"/>
        <v>0.20985714285714285</v>
      </c>
      <c r="R190" s="35" t="str">
        <f t="shared" si="10"/>
        <v/>
      </c>
      <c r="S190" s="32" t="str">
        <f>IF(AND(L190&gt;=INDEX(Succès!$D$10:$D$13,MATCH(A190,Succès!$A$10:$A$13,0)),P190&gt;=INDEX(Succès!$E$10:$E$13,MATCH(A190,Succès!$A$10:$A$13,0))),"Succès complet",IF(P190&gt;=INDEX(Succès!$E$10:$E$13,MATCH(A190,Succès!$A$10:$A$13,0)),"Engagé, portée modeste",IF(L190&gt;=INDEX(Succès!$D$10:$D$13,MATCH(A190,Succès!$A$10:$A$13,0)),"Portée sans engagement","Standard")))</f>
        <v>Engagé, portée modeste</v>
      </c>
      <c r="T190" s="32">
        <f t="shared" si="11"/>
        <v>0</v>
      </c>
    </row>
    <row r="191" spans="1:20">
      <c r="A191" s="32" t="s">
        <v>43</v>
      </c>
      <c r="B191" s="32" t="s">
        <v>676</v>
      </c>
      <c r="C191" s="32" t="s">
        <v>677</v>
      </c>
      <c r="D191" s="32"/>
      <c r="E191" s="32" t="s">
        <v>93</v>
      </c>
      <c r="F191" s="32" t="s">
        <v>505</v>
      </c>
      <c r="G191" s="33"/>
      <c r="H191" s="32">
        <v>30</v>
      </c>
      <c r="I191" s="32">
        <v>3</v>
      </c>
      <c r="J191" s="32">
        <v>61</v>
      </c>
      <c r="K191" s="32">
        <v>0</v>
      </c>
      <c r="L191" s="33">
        <v>21700000</v>
      </c>
      <c r="M191" s="33">
        <v>3800000</v>
      </c>
      <c r="N191" s="33">
        <v>100300</v>
      </c>
      <c r="O191" s="33">
        <v>112500</v>
      </c>
      <c r="P191" s="34">
        <f t="shared" si="8"/>
        <v>0.1849216589861751</v>
      </c>
      <c r="Q191" s="34">
        <f t="shared" si="9"/>
        <v>0.17511520737327188</v>
      </c>
      <c r="R191" s="35" t="str">
        <f t="shared" si="10"/>
        <v/>
      </c>
      <c r="S191" s="32" t="str">
        <f>IF(AND(L191&gt;=INDEX(Succès!$D$10:$D$13,MATCH(A191,Succès!$A$10:$A$13,0)),P191&gt;=INDEX(Succès!$E$10:$E$13,MATCH(A191,Succès!$A$10:$A$13,0))),"Succès complet",IF(P191&gt;=INDEX(Succès!$E$10:$E$13,MATCH(A191,Succès!$A$10:$A$13,0)),"Engagé, portée modeste",IF(L191&gt;=INDEX(Succès!$D$10:$D$13,MATCH(A191,Succès!$A$10:$A$13,0)),"Portée sans engagement","Standard")))</f>
        <v>Succès complet</v>
      </c>
      <c r="T191" s="32">
        <f t="shared" si="11"/>
        <v>1</v>
      </c>
    </row>
    <row r="192" spans="1:20">
      <c r="A192" s="32" t="s">
        <v>43</v>
      </c>
      <c r="B192" s="32" t="s">
        <v>678</v>
      </c>
      <c r="C192" s="32" t="s">
        <v>679</v>
      </c>
      <c r="D192" s="32"/>
      <c r="E192" s="32" t="s">
        <v>93</v>
      </c>
      <c r="F192" s="32" t="s">
        <v>505</v>
      </c>
      <c r="G192" s="33"/>
      <c r="H192" s="32">
        <v>15</v>
      </c>
      <c r="I192" s="32">
        <v>3</v>
      </c>
      <c r="J192" s="32">
        <v>149</v>
      </c>
      <c r="K192" s="32">
        <v>0</v>
      </c>
      <c r="L192" s="33">
        <v>6900000</v>
      </c>
      <c r="M192" s="33">
        <v>1300000</v>
      </c>
      <c r="N192" s="33">
        <v>12000</v>
      </c>
      <c r="O192" s="33">
        <v>17800</v>
      </c>
      <c r="P192" s="34">
        <f t="shared" si="8"/>
        <v>0.19272463768115941</v>
      </c>
      <c r="Q192" s="34">
        <f t="shared" si="9"/>
        <v>0.18840579710144928</v>
      </c>
      <c r="R192" s="35" t="str">
        <f t="shared" si="10"/>
        <v/>
      </c>
      <c r="S192" s="32" t="str">
        <f>IF(AND(L192&gt;=INDEX(Succès!$D$10:$D$13,MATCH(A192,Succès!$A$10:$A$13,0)),P192&gt;=INDEX(Succès!$E$10:$E$13,MATCH(A192,Succès!$A$10:$A$13,0))),"Succès complet",IF(P192&gt;=INDEX(Succès!$E$10:$E$13,MATCH(A192,Succès!$A$10:$A$13,0)),"Engagé, portée modeste",IF(L192&gt;=INDEX(Succès!$D$10:$D$13,MATCH(A192,Succès!$A$10:$A$13,0)),"Portée sans engagement","Standard")))</f>
        <v>Succès complet</v>
      </c>
      <c r="T192" s="32">
        <f t="shared" si="11"/>
        <v>1</v>
      </c>
    </row>
    <row r="193" spans="1:20">
      <c r="A193" s="32" t="s">
        <v>43</v>
      </c>
      <c r="B193" s="32" t="s">
        <v>680</v>
      </c>
      <c r="C193" s="32" t="s">
        <v>681</v>
      </c>
      <c r="D193" s="32"/>
      <c r="E193" s="32" t="s">
        <v>93</v>
      </c>
      <c r="F193" s="32" t="s">
        <v>505</v>
      </c>
      <c r="G193" s="33"/>
      <c r="H193" s="32">
        <v>9</v>
      </c>
      <c r="I193" s="32">
        <v>0</v>
      </c>
      <c r="J193" s="32">
        <v>0</v>
      </c>
      <c r="K193" s="32">
        <v>0</v>
      </c>
      <c r="L193" s="33">
        <v>21500000</v>
      </c>
      <c r="M193" s="33">
        <v>3600000</v>
      </c>
      <c r="N193" s="33">
        <v>81300</v>
      </c>
      <c r="O193" s="33">
        <v>334400</v>
      </c>
      <c r="P193" s="34">
        <f t="shared" si="8"/>
        <v>0.18677674418604651</v>
      </c>
      <c r="Q193" s="34">
        <f t="shared" si="9"/>
        <v>0.16744186046511628</v>
      </c>
      <c r="R193" s="35" t="str">
        <f t="shared" si="10"/>
        <v/>
      </c>
      <c r="S193" s="32" t="str">
        <f>IF(AND(L193&gt;=INDEX(Succès!$D$10:$D$13,MATCH(A193,Succès!$A$10:$A$13,0)),P193&gt;=INDEX(Succès!$E$10:$E$13,MATCH(A193,Succès!$A$10:$A$13,0))),"Succès complet",IF(P193&gt;=INDEX(Succès!$E$10:$E$13,MATCH(A193,Succès!$A$10:$A$13,0)),"Engagé, portée modeste",IF(L193&gt;=INDEX(Succès!$D$10:$D$13,MATCH(A193,Succès!$A$10:$A$13,0)),"Portée sans engagement","Standard")))</f>
        <v>Succès complet</v>
      </c>
      <c r="T193" s="32">
        <f t="shared" si="11"/>
        <v>1</v>
      </c>
    </row>
    <row r="194" spans="1:20">
      <c r="A194" s="32" t="s">
        <v>43</v>
      </c>
      <c r="B194" s="32" t="s">
        <v>682</v>
      </c>
      <c r="C194" s="32" t="s">
        <v>683</v>
      </c>
      <c r="D194" s="32"/>
      <c r="E194" s="32" t="s">
        <v>93</v>
      </c>
      <c r="F194" s="32" t="s">
        <v>505</v>
      </c>
      <c r="G194" s="33"/>
      <c r="H194" s="32">
        <v>15</v>
      </c>
      <c r="I194" s="32">
        <v>1</v>
      </c>
      <c r="J194" s="32">
        <v>25</v>
      </c>
      <c r="K194" s="32">
        <v>0</v>
      </c>
      <c r="L194" s="33">
        <v>3000000</v>
      </c>
      <c r="M194" s="33">
        <v>768900</v>
      </c>
      <c r="N194" s="33">
        <v>11000</v>
      </c>
      <c r="O194" s="33">
        <v>18000</v>
      </c>
      <c r="P194" s="34">
        <f t="shared" ref="P194:P257" si="12">(M194+N194+O194)/L194</f>
        <v>0.26596666666666668</v>
      </c>
      <c r="Q194" s="34">
        <f t="shared" ref="Q194:Q257" si="13">M194/L194</f>
        <v>0.25629999999999997</v>
      </c>
      <c r="R194" s="35" t="str">
        <f t="shared" ref="R194:R257" si="14">IF(G194="","",L194/G194)</f>
        <v/>
      </c>
      <c r="S194" s="32" t="str">
        <f>IF(AND(L194&gt;=INDEX(Succès!$D$10:$D$13,MATCH(A194,Succès!$A$10:$A$13,0)),P194&gt;=INDEX(Succès!$E$10:$E$13,MATCH(A194,Succès!$A$10:$A$13,0))),"Succès complet",IF(P194&gt;=INDEX(Succès!$E$10:$E$13,MATCH(A194,Succès!$A$10:$A$13,0)),"Engagé, portée modeste",IF(L194&gt;=INDEX(Succès!$D$10:$D$13,MATCH(A194,Succès!$A$10:$A$13,0)),"Portée sans engagement","Standard")))</f>
        <v>Engagé, portée modeste</v>
      </c>
      <c r="T194" s="32">
        <f t="shared" ref="T194:T257" si="15">IF(S194="Succès complet",1,0)</f>
        <v>0</v>
      </c>
    </row>
    <row r="195" spans="1:20">
      <c r="A195" s="32" t="s">
        <v>43</v>
      </c>
      <c r="B195" s="32" t="s">
        <v>684</v>
      </c>
      <c r="C195" s="32" t="s">
        <v>685</v>
      </c>
      <c r="D195" s="32"/>
      <c r="E195" s="32" t="s">
        <v>93</v>
      </c>
      <c r="F195" s="32" t="s">
        <v>505</v>
      </c>
      <c r="G195" s="33"/>
      <c r="H195" s="32">
        <v>10</v>
      </c>
      <c r="I195" s="32">
        <v>3</v>
      </c>
      <c r="J195" s="32">
        <v>75</v>
      </c>
      <c r="K195" s="32">
        <v>1</v>
      </c>
      <c r="L195" s="33">
        <v>73800</v>
      </c>
      <c r="M195" s="33">
        <v>7528</v>
      </c>
      <c r="N195" s="33">
        <v>119</v>
      </c>
      <c r="O195" s="33">
        <v>32</v>
      </c>
      <c r="P195" s="34">
        <f t="shared" si="12"/>
        <v>0.10405149051490514</v>
      </c>
      <c r="Q195" s="34">
        <f t="shared" si="13"/>
        <v>0.10200542005420055</v>
      </c>
      <c r="R195" s="35" t="str">
        <f t="shared" si="14"/>
        <v/>
      </c>
      <c r="S195" s="32" t="str">
        <f>IF(AND(L195&gt;=INDEX(Succès!$D$10:$D$13,MATCH(A195,Succès!$A$10:$A$13,0)),P195&gt;=INDEX(Succès!$E$10:$E$13,MATCH(A195,Succès!$A$10:$A$13,0))),"Succès complet",IF(P195&gt;=INDEX(Succès!$E$10:$E$13,MATCH(A195,Succès!$A$10:$A$13,0)),"Engagé, portée modeste",IF(L195&gt;=INDEX(Succès!$D$10:$D$13,MATCH(A195,Succès!$A$10:$A$13,0)),"Portée sans engagement","Standard")))</f>
        <v>Standard</v>
      </c>
      <c r="T195" s="32">
        <f t="shared" si="15"/>
        <v>0</v>
      </c>
    </row>
    <row r="196" spans="1:20">
      <c r="A196" s="32" t="s">
        <v>43</v>
      </c>
      <c r="B196" s="32" t="s">
        <v>686</v>
      </c>
      <c r="C196" s="32" t="s">
        <v>687</v>
      </c>
      <c r="D196" s="32"/>
      <c r="E196" s="32" t="s">
        <v>93</v>
      </c>
      <c r="F196" s="32" t="s">
        <v>505</v>
      </c>
      <c r="G196" s="33"/>
      <c r="H196" s="32">
        <v>13</v>
      </c>
      <c r="I196" s="32">
        <v>0</v>
      </c>
      <c r="J196" s="32">
        <v>25</v>
      </c>
      <c r="K196" s="32">
        <v>0</v>
      </c>
      <c r="L196" s="33">
        <v>10500000</v>
      </c>
      <c r="M196" s="33">
        <v>2000000</v>
      </c>
      <c r="N196" s="33">
        <v>33600</v>
      </c>
      <c r="O196" s="33">
        <v>66200</v>
      </c>
      <c r="P196" s="34">
        <f t="shared" si="12"/>
        <v>0.19998095238095237</v>
      </c>
      <c r="Q196" s="34">
        <f t="shared" si="13"/>
        <v>0.19047619047619047</v>
      </c>
      <c r="R196" s="35" t="str">
        <f t="shared" si="14"/>
        <v/>
      </c>
      <c r="S196" s="32" t="str">
        <f>IF(AND(L196&gt;=INDEX(Succès!$D$10:$D$13,MATCH(A196,Succès!$A$10:$A$13,0)),P196&gt;=INDEX(Succès!$E$10:$E$13,MATCH(A196,Succès!$A$10:$A$13,0))),"Succès complet",IF(P196&gt;=INDEX(Succès!$E$10:$E$13,MATCH(A196,Succès!$A$10:$A$13,0)),"Engagé, portée modeste",IF(L196&gt;=INDEX(Succès!$D$10:$D$13,MATCH(A196,Succès!$A$10:$A$13,0)),"Portée sans engagement","Standard")))</f>
        <v>Succès complet</v>
      </c>
      <c r="T196" s="32">
        <f t="shared" si="15"/>
        <v>1</v>
      </c>
    </row>
    <row r="197" spans="1:20">
      <c r="A197" s="32" t="s">
        <v>43</v>
      </c>
      <c r="B197" s="32" t="s">
        <v>688</v>
      </c>
      <c r="C197" s="32" t="s">
        <v>689</v>
      </c>
      <c r="D197" s="32"/>
      <c r="E197" s="32" t="s">
        <v>93</v>
      </c>
      <c r="F197" s="32" t="s">
        <v>505</v>
      </c>
      <c r="G197" s="33"/>
      <c r="H197" s="32">
        <v>46</v>
      </c>
      <c r="I197" s="32">
        <v>3</v>
      </c>
      <c r="J197" s="32">
        <v>53</v>
      </c>
      <c r="K197" s="32">
        <v>1</v>
      </c>
      <c r="L197" s="33">
        <v>10500000</v>
      </c>
      <c r="M197" s="33">
        <v>1900000</v>
      </c>
      <c r="N197" s="33">
        <v>12000</v>
      </c>
      <c r="O197" s="33">
        <v>61500</v>
      </c>
      <c r="P197" s="34">
        <f t="shared" si="12"/>
        <v>0.18795238095238095</v>
      </c>
      <c r="Q197" s="34">
        <f t="shared" si="13"/>
        <v>0.18095238095238095</v>
      </c>
      <c r="R197" s="35" t="str">
        <f t="shared" si="14"/>
        <v/>
      </c>
      <c r="S197" s="32" t="str">
        <f>IF(AND(L197&gt;=INDEX(Succès!$D$10:$D$13,MATCH(A197,Succès!$A$10:$A$13,0)),P197&gt;=INDEX(Succès!$E$10:$E$13,MATCH(A197,Succès!$A$10:$A$13,0))),"Succès complet",IF(P197&gt;=INDEX(Succès!$E$10:$E$13,MATCH(A197,Succès!$A$10:$A$13,0)),"Engagé, portée modeste",IF(L197&gt;=INDEX(Succès!$D$10:$D$13,MATCH(A197,Succès!$A$10:$A$13,0)),"Portée sans engagement","Standard")))</f>
        <v>Succès complet</v>
      </c>
      <c r="T197" s="32">
        <f t="shared" si="15"/>
        <v>1</v>
      </c>
    </row>
    <row r="198" spans="1:20">
      <c r="A198" s="32" t="s">
        <v>43</v>
      </c>
      <c r="B198" s="32" t="s">
        <v>690</v>
      </c>
      <c r="C198" s="32" t="s">
        <v>691</v>
      </c>
      <c r="D198" s="32"/>
      <c r="E198" s="32" t="s">
        <v>93</v>
      </c>
      <c r="F198" s="32" t="s">
        <v>505</v>
      </c>
      <c r="G198" s="33"/>
      <c r="H198" s="32">
        <v>15</v>
      </c>
      <c r="I198" s="32">
        <v>1</v>
      </c>
      <c r="J198" s="32">
        <v>54</v>
      </c>
      <c r="K198" s="32">
        <v>0</v>
      </c>
      <c r="L198" s="33">
        <v>8100000</v>
      </c>
      <c r="M198" s="33">
        <v>2300000</v>
      </c>
      <c r="N198" s="33">
        <v>55500</v>
      </c>
      <c r="O198" s="33">
        <v>48000</v>
      </c>
      <c r="P198" s="34">
        <f t="shared" si="12"/>
        <v>0.29672839506172838</v>
      </c>
      <c r="Q198" s="34">
        <f t="shared" si="13"/>
        <v>0.2839506172839506</v>
      </c>
      <c r="R198" s="35" t="str">
        <f t="shared" si="14"/>
        <v/>
      </c>
      <c r="S198" s="32" t="str">
        <f>IF(AND(L198&gt;=INDEX(Succès!$D$10:$D$13,MATCH(A198,Succès!$A$10:$A$13,0)),P198&gt;=INDEX(Succès!$E$10:$E$13,MATCH(A198,Succès!$A$10:$A$13,0))),"Succès complet",IF(P198&gt;=INDEX(Succès!$E$10:$E$13,MATCH(A198,Succès!$A$10:$A$13,0)),"Engagé, portée modeste",IF(L198&gt;=INDEX(Succès!$D$10:$D$13,MATCH(A198,Succès!$A$10:$A$13,0)),"Portée sans engagement","Standard")))</f>
        <v>Succès complet</v>
      </c>
      <c r="T198" s="32">
        <f t="shared" si="15"/>
        <v>1</v>
      </c>
    </row>
    <row r="199" spans="1:20">
      <c r="A199" s="32" t="s">
        <v>43</v>
      </c>
      <c r="B199" s="32" t="s">
        <v>692</v>
      </c>
      <c r="C199" s="32" t="s">
        <v>685</v>
      </c>
      <c r="D199" s="32"/>
      <c r="E199" s="32" t="s">
        <v>93</v>
      </c>
      <c r="F199" s="32" t="s">
        <v>505</v>
      </c>
      <c r="G199" s="33"/>
      <c r="H199" s="32">
        <v>10</v>
      </c>
      <c r="I199" s="32">
        <v>4</v>
      </c>
      <c r="J199" s="32">
        <v>72</v>
      </c>
      <c r="K199" s="32">
        <v>1</v>
      </c>
      <c r="L199" s="33">
        <v>1200000</v>
      </c>
      <c r="M199" s="33">
        <v>453600</v>
      </c>
      <c r="N199" s="33">
        <v>6616</v>
      </c>
      <c r="O199" s="33">
        <v>6579</v>
      </c>
      <c r="P199" s="34">
        <f t="shared" si="12"/>
        <v>0.38899583333333332</v>
      </c>
      <c r="Q199" s="34">
        <f t="shared" si="13"/>
        <v>0.378</v>
      </c>
      <c r="R199" s="35" t="str">
        <f t="shared" si="14"/>
        <v/>
      </c>
      <c r="S199" s="32" t="str">
        <f>IF(AND(L199&gt;=INDEX(Succès!$D$10:$D$13,MATCH(A199,Succès!$A$10:$A$13,0)),P199&gt;=INDEX(Succès!$E$10:$E$13,MATCH(A199,Succès!$A$10:$A$13,0))),"Succès complet",IF(P199&gt;=INDEX(Succès!$E$10:$E$13,MATCH(A199,Succès!$A$10:$A$13,0)),"Engagé, portée modeste",IF(L199&gt;=INDEX(Succès!$D$10:$D$13,MATCH(A199,Succès!$A$10:$A$13,0)),"Portée sans engagement","Standard")))</f>
        <v>Engagé, portée modeste</v>
      </c>
      <c r="T199" s="32">
        <f t="shared" si="15"/>
        <v>0</v>
      </c>
    </row>
    <row r="200" spans="1:20">
      <c r="A200" s="32" t="s">
        <v>43</v>
      </c>
      <c r="B200" s="32" t="s">
        <v>693</v>
      </c>
      <c r="C200" s="32" t="s">
        <v>687</v>
      </c>
      <c r="D200" s="32"/>
      <c r="E200" s="32" t="s">
        <v>93</v>
      </c>
      <c r="F200" s="32" t="s">
        <v>505</v>
      </c>
      <c r="G200" s="33"/>
      <c r="H200" s="32">
        <v>13</v>
      </c>
      <c r="I200" s="32">
        <v>0</v>
      </c>
      <c r="J200" s="32">
        <v>24</v>
      </c>
      <c r="K200" s="32">
        <v>0</v>
      </c>
      <c r="L200" s="33">
        <v>1700000</v>
      </c>
      <c r="M200" s="33">
        <v>249600</v>
      </c>
      <c r="N200" s="33">
        <v>6757</v>
      </c>
      <c r="O200" s="33">
        <v>17900</v>
      </c>
      <c r="P200" s="34">
        <f t="shared" si="12"/>
        <v>0.16132764705882352</v>
      </c>
      <c r="Q200" s="34">
        <f t="shared" si="13"/>
        <v>0.14682352941176471</v>
      </c>
      <c r="R200" s="35" t="str">
        <f t="shared" si="14"/>
        <v/>
      </c>
      <c r="S200" s="32" t="str">
        <f>IF(AND(L200&gt;=INDEX(Succès!$D$10:$D$13,MATCH(A200,Succès!$A$10:$A$13,0)),P200&gt;=INDEX(Succès!$E$10:$E$13,MATCH(A200,Succès!$A$10:$A$13,0))),"Succès complet",IF(P200&gt;=INDEX(Succès!$E$10:$E$13,MATCH(A200,Succès!$A$10:$A$13,0)),"Engagé, portée modeste",IF(L200&gt;=INDEX(Succès!$D$10:$D$13,MATCH(A200,Succès!$A$10:$A$13,0)),"Portée sans engagement","Standard")))</f>
        <v>Standard</v>
      </c>
      <c r="T200" s="32">
        <f t="shared" si="15"/>
        <v>0</v>
      </c>
    </row>
    <row r="201" spans="1:20">
      <c r="A201" s="32" t="s">
        <v>43</v>
      </c>
      <c r="B201" s="32" t="s">
        <v>694</v>
      </c>
      <c r="C201" s="32" t="s">
        <v>695</v>
      </c>
      <c r="D201" s="32"/>
      <c r="E201" s="32" t="s">
        <v>93</v>
      </c>
      <c r="F201" s="32" t="s">
        <v>505</v>
      </c>
      <c r="G201" s="33"/>
      <c r="H201" s="32">
        <v>30</v>
      </c>
      <c r="I201" s="32">
        <v>2</v>
      </c>
      <c r="J201" s="32">
        <v>33</v>
      </c>
      <c r="K201" s="32">
        <v>1</v>
      </c>
      <c r="L201" s="33">
        <v>5000000</v>
      </c>
      <c r="M201" s="33">
        <v>1100000</v>
      </c>
      <c r="N201" s="33">
        <v>10700</v>
      </c>
      <c r="O201" s="33">
        <v>31700</v>
      </c>
      <c r="P201" s="34">
        <f t="shared" si="12"/>
        <v>0.22847999999999999</v>
      </c>
      <c r="Q201" s="34">
        <f t="shared" si="13"/>
        <v>0.22</v>
      </c>
      <c r="R201" s="35" t="str">
        <f t="shared" si="14"/>
        <v/>
      </c>
      <c r="S201" s="32" t="str">
        <f>IF(AND(L201&gt;=INDEX(Succès!$D$10:$D$13,MATCH(A201,Succès!$A$10:$A$13,0)),P201&gt;=INDEX(Succès!$E$10:$E$13,MATCH(A201,Succès!$A$10:$A$13,0))),"Succès complet",IF(P201&gt;=INDEX(Succès!$E$10:$E$13,MATCH(A201,Succès!$A$10:$A$13,0)),"Engagé, portée modeste",IF(L201&gt;=INDEX(Succès!$D$10:$D$13,MATCH(A201,Succès!$A$10:$A$13,0)),"Portée sans engagement","Standard")))</f>
        <v>Engagé, portée modeste</v>
      </c>
      <c r="T201" s="32">
        <f t="shared" si="15"/>
        <v>0</v>
      </c>
    </row>
    <row r="202" spans="1:20">
      <c r="A202" s="32" t="s">
        <v>46</v>
      </c>
      <c r="B202" s="32" t="s">
        <v>696</v>
      </c>
      <c r="C202" s="32" t="s">
        <v>697</v>
      </c>
      <c r="D202" s="32" t="s">
        <v>698</v>
      </c>
      <c r="E202" s="32" t="s">
        <v>93</v>
      </c>
      <c r="F202" s="32" t="s">
        <v>505</v>
      </c>
      <c r="G202" s="33"/>
      <c r="H202" s="32">
        <v>34</v>
      </c>
      <c r="I202" s="32">
        <v>0</v>
      </c>
      <c r="J202" s="32">
        <v>38</v>
      </c>
      <c r="K202" s="32">
        <v>0</v>
      </c>
      <c r="L202" s="33">
        <v>3100000</v>
      </c>
      <c r="M202" s="33">
        <v>384700</v>
      </c>
      <c r="N202" s="33">
        <v>56200</v>
      </c>
      <c r="O202" s="33">
        <v>6087</v>
      </c>
      <c r="P202" s="34">
        <f t="shared" si="12"/>
        <v>0.14418935483870968</v>
      </c>
      <c r="Q202" s="34">
        <f t="shared" si="13"/>
        <v>0.12409677419354839</v>
      </c>
      <c r="R202" s="35" t="str">
        <f t="shared" si="14"/>
        <v/>
      </c>
      <c r="S202" s="32" t="str">
        <f>IF(AND(L202&gt;=INDEX(Succès!$D$10:$D$13,MATCH(A202,Succès!$A$10:$A$13,0)),P202&gt;=INDEX(Succès!$E$10:$E$13,MATCH(A202,Succès!$A$10:$A$13,0))),"Succès complet",IF(P202&gt;=INDEX(Succès!$E$10:$E$13,MATCH(A202,Succès!$A$10:$A$13,0)),"Engagé, portée modeste",IF(L202&gt;=INDEX(Succès!$D$10:$D$13,MATCH(A202,Succès!$A$10:$A$13,0)),"Portée sans engagement","Standard")))</f>
        <v>Engagé, portée modeste</v>
      </c>
      <c r="T202" s="32">
        <f t="shared" si="15"/>
        <v>0</v>
      </c>
    </row>
    <row r="203" spans="1:20">
      <c r="A203" s="32" t="s">
        <v>46</v>
      </c>
      <c r="B203" s="32" t="s">
        <v>699</v>
      </c>
      <c r="C203" s="32" t="s">
        <v>697</v>
      </c>
      <c r="D203" s="32" t="s">
        <v>698</v>
      </c>
      <c r="E203" s="32" t="s">
        <v>93</v>
      </c>
      <c r="F203" s="32" t="s">
        <v>505</v>
      </c>
      <c r="G203" s="33"/>
      <c r="H203" s="32">
        <v>46</v>
      </c>
      <c r="I203" s="32">
        <v>0</v>
      </c>
      <c r="J203" s="32">
        <v>133</v>
      </c>
      <c r="K203" s="32">
        <v>0</v>
      </c>
      <c r="L203" s="33">
        <v>963000</v>
      </c>
      <c r="M203" s="33">
        <v>40600</v>
      </c>
      <c r="N203" s="33">
        <v>6552</v>
      </c>
      <c r="O203" s="33">
        <v>1765</v>
      </c>
      <c r="P203" s="34">
        <f t="shared" si="12"/>
        <v>5.0796469366562826E-2</v>
      </c>
      <c r="Q203" s="34">
        <f t="shared" si="13"/>
        <v>4.2159916926272065E-2</v>
      </c>
      <c r="R203" s="35" t="str">
        <f t="shared" si="14"/>
        <v/>
      </c>
      <c r="S203" s="32" t="str">
        <f>IF(AND(L203&gt;=INDEX(Succès!$D$10:$D$13,MATCH(A203,Succès!$A$10:$A$13,0)),P203&gt;=INDEX(Succès!$E$10:$E$13,MATCH(A203,Succès!$A$10:$A$13,0))),"Succès complet",IF(P203&gt;=INDEX(Succès!$E$10:$E$13,MATCH(A203,Succès!$A$10:$A$13,0)),"Engagé, portée modeste",IF(L203&gt;=INDEX(Succès!$D$10:$D$13,MATCH(A203,Succès!$A$10:$A$13,0)),"Portée sans engagement","Standard")))</f>
        <v>Standard</v>
      </c>
      <c r="T203" s="32">
        <f t="shared" si="15"/>
        <v>0</v>
      </c>
    </row>
    <row r="204" spans="1:20">
      <c r="A204" s="32" t="s">
        <v>46</v>
      </c>
      <c r="B204" s="32" t="s">
        <v>700</v>
      </c>
      <c r="C204" s="32" t="s">
        <v>697</v>
      </c>
      <c r="D204" s="32" t="s">
        <v>698</v>
      </c>
      <c r="E204" s="32" t="s">
        <v>93</v>
      </c>
      <c r="F204" s="32" t="s">
        <v>505</v>
      </c>
      <c r="G204" s="33"/>
      <c r="H204" s="32">
        <v>57</v>
      </c>
      <c r="I204" s="32">
        <v>0</v>
      </c>
      <c r="J204" s="32">
        <v>124</v>
      </c>
      <c r="K204" s="32">
        <v>0</v>
      </c>
      <c r="L204" s="33">
        <v>925900</v>
      </c>
      <c r="M204" s="33">
        <v>52600</v>
      </c>
      <c r="N204" s="33">
        <v>12600</v>
      </c>
      <c r="O204" s="33">
        <v>3528</v>
      </c>
      <c r="P204" s="34">
        <f t="shared" si="12"/>
        <v>7.4228318392915008E-2</v>
      </c>
      <c r="Q204" s="34">
        <f t="shared" si="13"/>
        <v>5.6809590668538718E-2</v>
      </c>
      <c r="R204" s="35" t="str">
        <f t="shared" si="14"/>
        <v/>
      </c>
      <c r="S204" s="32" t="str">
        <f>IF(AND(L204&gt;=INDEX(Succès!$D$10:$D$13,MATCH(A204,Succès!$A$10:$A$13,0)),P204&gt;=INDEX(Succès!$E$10:$E$13,MATCH(A204,Succès!$A$10:$A$13,0))),"Succès complet",IF(P204&gt;=INDEX(Succès!$E$10:$E$13,MATCH(A204,Succès!$A$10:$A$13,0)),"Engagé, portée modeste",IF(L204&gt;=INDEX(Succès!$D$10:$D$13,MATCH(A204,Succès!$A$10:$A$13,0)),"Portée sans engagement","Standard")))</f>
        <v>Engagé, portée modeste</v>
      </c>
      <c r="T204" s="32">
        <f t="shared" si="15"/>
        <v>0</v>
      </c>
    </row>
    <row r="205" spans="1:20">
      <c r="A205" s="32" t="s">
        <v>46</v>
      </c>
      <c r="B205" s="32" t="s">
        <v>701</v>
      </c>
      <c r="C205" s="32" t="s">
        <v>697</v>
      </c>
      <c r="D205" s="32" t="s">
        <v>698</v>
      </c>
      <c r="E205" s="32" t="s">
        <v>93</v>
      </c>
      <c r="F205" s="32" t="s">
        <v>505</v>
      </c>
      <c r="G205" s="33"/>
      <c r="H205" s="32">
        <v>30</v>
      </c>
      <c r="I205" s="32">
        <v>0</v>
      </c>
      <c r="J205" s="32">
        <v>93</v>
      </c>
      <c r="K205" s="32">
        <v>0</v>
      </c>
      <c r="L205" s="33">
        <v>11800000</v>
      </c>
      <c r="M205" s="33">
        <v>298100</v>
      </c>
      <c r="N205" s="33">
        <v>50400</v>
      </c>
      <c r="O205" s="33">
        <v>7123</v>
      </c>
      <c r="P205" s="34">
        <f t="shared" si="12"/>
        <v>3.0137542372881358E-2</v>
      </c>
      <c r="Q205" s="34">
        <f t="shared" si="13"/>
        <v>2.5262711864406779E-2</v>
      </c>
      <c r="R205" s="35" t="str">
        <f t="shared" si="14"/>
        <v/>
      </c>
      <c r="S205" s="32" t="str">
        <f>IF(AND(L205&gt;=INDEX(Succès!$D$10:$D$13,MATCH(A205,Succès!$A$10:$A$13,0)),P205&gt;=INDEX(Succès!$E$10:$E$13,MATCH(A205,Succès!$A$10:$A$13,0))),"Succès complet",IF(P205&gt;=INDEX(Succès!$E$10:$E$13,MATCH(A205,Succès!$A$10:$A$13,0)),"Engagé, portée modeste",IF(L205&gt;=INDEX(Succès!$D$10:$D$13,MATCH(A205,Succès!$A$10:$A$13,0)),"Portée sans engagement","Standard")))</f>
        <v>Portée sans engagement</v>
      </c>
      <c r="T205" s="32">
        <f t="shared" si="15"/>
        <v>0</v>
      </c>
    </row>
    <row r="206" spans="1:20">
      <c r="A206" s="32" t="s">
        <v>46</v>
      </c>
      <c r="B206" s="32" t="s">
        <v>702</v>
      </c>
      <c r="C206" s="32" t="s">
        <v>697</v>
      </c>
      <c r="D206" s="32" t="s">
        <v>698</v>
      </c>
      <c r="E206" s="32" t="s">
        <v>93</v>
      </c>
      <c r="F206" s="32" t="s">
        <v>505</v>
      </c>
      <c r="G206" s="33"/>
      <c r="H206" s="32">
        <v>27</v>
      </c>
      <c r="I206" s="32">
        <v>3</v>
      </c>
      <c r="J206" s="32">
        <v>125</v>
      </c>
      <c r="K206" s="32">
        <v>0</v>
      </c>
      <c r="L206" s="33">
        <v>1500000</v>
      </c>
      <c r="M206" s="33">
        <v>82800</v>
      </c>
      <c r="N206" s="33">
        <v>17000</v>
      </c>
      <c r="O206" s="33">
        <v>4557</v>
      </c>
      <c r="P206" s="34">
        <f t="shared" si="12"/>
        <v>6.9571333333333332E-2</v>
      </c>
      <c r="Q206" s="34">
        <f t="shared" si="13"/>
        <v>5.5199999999999999E-2</v>
      </c>
      <c r="R206" s="35" t="str">
        <f t="shared" si="14"/>
        <v/>
      </c>
      <c r="S206" s="32" t="str">
        <f>IF(AND(L206&gt;=INDEX(Succès!$D$10:$D$13,MATCH(A206,Succès!$A$10:$A$13,0)),P206&gt;=INDEX(Succès!$E$10:$E$13,MATCH(A206,Succès!$A$10:$A$13,0))),"Succès complet",IF(P206&gt;=INDEX(Succès!$E$10:$E$13,MATCH(A206,Succès!$A$10:$A$13,0)),"Engagé, portée modeste",IF(L206&gt;=INDEX(Succès!$D$10:$D$13,MATCH(A206,Succès!$A$10:$A$13,0)),"Portée sans engagement","Standard")))</f>
        <v>Engagé, portée modeste</v>
      </c>
      <c r="T206" s="32">
        <f t="shared" si="15"/>
        <v>0</v>
      </c>
    </row>
    <row r="207" spans="1:20">
      <c r="A207" s="32" t="s">
        <v>46</v>
      </c>
      <c r="B207" s="32" t="s">
        <v>703</v>
      </c>
      <c r="C207" s="32" t="s">
        <v>697</v>
      </c>
      <c r="D207" s="32" t="s">
        <v>698</v>
      </c>
      <c r="E207" s="32" t="s">
        <v>93</v>
      </c>
      <c r="F207" s="32" t="s">
        <v>505</v>
      </c>
      <c r="G207" s="33"/>
      <c r="H207" s="32">
        <v>60</v>
      </c>
      <c r="I207" s="32">
        <v>1</v>
      </c>
      <c r="J207" s="32">
        <v>133</v>
      </c>
      <c r="K207" s="32">
        <v>0</v>
      </c>
      <c r="L207" s="33">
        <v>1100000</v>
      </c>
      <c r="M207" s="33">
        <v>52500</v>
      </c>
      <c r="N207" s="33">
        <v>5878</v>
      </c>
      <c r="O207" s="33">
        <v>1888</v>
      </c>
      <c r="P207" s="34">
        <f t="shared" si="12"/>
        <v>5.4787272727272726E-2</v>
      </c>
      <c r="Q207" s="34">
        <f t="shared" si="13"/>
        <v>4.7727272727272729E-2</v>
      </c>
      <c r="R207" s="35" t="str">
        <f t="shared" si="14"/>
        <v/>
      </c>
      <c r="S207" s="32" t="str">
        <f>IF(AND(L207&gt;=INDEX(Succès!$D$10:$D$13,MATCH(A207,Succès!$A$10:$A$13,0)),P207&gt;=INDEX(Succès!$E$10:$E$13,MATCH(A207,Succès!$A$10:$A$13,0))),"Succès complet",IF(P207&gt;=INDEX(Succès!$E$10:$E$13,MATCH(A207,Succès!$A$10:$A$13,0)),"Engagé, portée modeste",IF(L207&gt;=INDEX(Succès!$D$10:$D$13,MATCH(A207,Succès!$A$10:$A$13,0)),"Portée sans engagement","Standard")))</f>
        <v>Standard</v>
      </c>
      <c r="T207" s="32">
        <f t="shared" si="15"/>
        <v>0</v>
      </c>
    </row>
    <row r="208" spans="1:20">
      <c r="A208" s="32" t="s">
        <v>46</v>
      </c>
      <c r="B208" s="32" t="s">
        <v>704</v>
      </c>
      <c r="C208" s="32" t="s">
        <v>697</v>
      </c>
      <c r="D208" s="32" t="s">
        <v>698</v>
      </c>
      <c r="E208" s="32" t="s">
        <v>93</v>
      </c>
      <c r="F208" s="32" t="s">
        <v>505</v>
      </c>
      <c r="G208" s="33"/>
      <c r="H208" s="32">
        <v>28</v>
      </c>
      <c r="I208" s="32">
        <v>1</v>
      </c>
      <c r="J208" s="32">
        <v>86</v>
      </c>
      <c r="K208" s="32">
        <v>0</v>
      </c>
      <c r="L208" s="33">
        <v>1400000</v>
      </c>
      <c r="M208" s="33">
        <v>88300</v>
      </c>
      <c r="N208" s="33">
        <v>13800</v>
      </c>
      <c r="O208" s="33">
        <v>5036</v>
      </c>
      <c r="P208" s="34">
        <f t="shared" si="12"/>
        <v>7.652571428571428E-2</v>
      </c>
      <c r="Q208" s="34">
        <f t="shared" si="13"/>
        <v>6.307142857142857E-2</v>
      </c>
      <c r="R208" s="35" t="str">
        <f t="shared" si="14"/>
        <v/>
      </c>
      <c r="S208" s="32" t="str">
        <f>IF(AND(L208&gt;=INDEX(Succès!$D$10:$D$13,MATCH(A208,Succès!$A$10:$A$13,0)),P208&gt;=INDEX(Succès!$E$10:$E$13,MATCH(A208,Succès!$A$10:$A$13,0))),"Succès complet",IF(P208&gt;=INDEX(Succès!$E$10:$E$13,MATCH(A208,Succès!$A$10:$A$13,0)),"Engagé, portée modeste",IF(L208&gt;=INDEX(Succès!$D$10:$D$13,MATCH(A208,Succès!$A$10:$A$13,0)),"Portée sans engagement","Standard")))</f>
        <v>Engagé, portée modeste</v>
      </c>
      <c r="T208" s="32">
        <f t="shared" si="15"/>
        <v>0</v>
      </c>
    </row>
    <row r="209" spans="1:20">
      <c r="A209" s="32" t="s">
        <v>46</v>
      </c>
      <c r="B209" s="32" t="s">
        <v>705</v>
      </c>
      <c r="C209" s="32" t="s">
        <v>697</v>
      </c>
      <c r="D209" s="32" t="s">
        <v>698</v>
      </c>
      <c r="E209" s="32" t="s">
        <v>93</v>
      </c>
      <c r="F209" s="32" t="s">
        <v>505</v>
      </c>
      <c r="G209" s="33"/>
      <c r="H209" s="32">
        <v>15</v>
      </c>
      <c r="I209" s="32">
        <v>2</v>
      </c>
      <c r="J209" s="32">
        <v>147</v>
      </c>
      <c r="K209" s="32">
        <v>0</v>
      </c>
      <c r="L209" s="33">
        <v>821700</v>
      </c>
      <c r="M209" s="33">
        <v>34900</v>
      </c>
      <c r="N209" s="33">
        <v>6167</v>
      </c>
      <c r="O209" s="33">
        <v>1906</v>
      </c>
      <c r="P209" s="34">
        <f t="shared" si="12"/>
        <v>5.2297675550687601E-2</v>
      </c>
      <c r="Q209" s="34">
        <f t="shared" si="13"/>
        <v>4.2472921990994283E-2</v>
      </c>
      <c r="R209" s="35" t="str">
        <f t="shared" si="14"/>
        <v/>
      </c>
      <c r="S209" s="32" t="str">
        <f>IF(AND(L209&gt;=INDEX(Succès!$D$10:$D$13,MATCH(A209,Succès!$A$10:$A$13,0)),P209&gt;=INDEX(Succès!$E$10:$E$13,MATCH(A209,Succès!$A$10:$A$13,0))),"Succès complet",IF(P209&gt;=INDEX(Succès!$E$10:$E$13,MATCH(A209,Succès!$A$10:$A$13,0)),"Engagé, portée modeste",IF(L209&gt;=INDEX(Succès!$D$10:$D$13,MATCH(A209,Succès!$A$10:$A$13,0)),"Portée sans engagement","Standard")))</f>
        <v>Standard</v>
      </c>
      <c r="T209" s="32">
        <f t="shared" si="15"/>
        <v>0</v>
      </c>
    </row>
    <row r="210" spans="1:20">
      <c r="A210" s="32" t="s">
        <v>46</v>
      </c>
      <c r="B210" s="32" t="s">
        <v>706</v>
      </c>
      <c r="C210" s="32" t="s">
        <v>697</v>
      </c>
      <c r="D210" s="32" t="s">
        <v>698</v>
      </c>
      <c r="E210" s="32" t="s">
        <v>93</v>
      </c>
      <c r="F210" s="32" t="s">
        <v>505</v>
      </c>
      <c r="G210" s="33"/>
      <c r="H210" s="32">
        <v>10</v>
      </c>
      <c r="I210" s="32">
        <v>0</v>
      </c>
      <c r="J210" s="32">
        <v>34</v>
      </c>
      <c r="K210" s="32">
        <v>0</v>
      </c>
      <c r="L210" s="33">
        <v>3200000</v>
      </c>
      <c r="M210" s="33">
        <v>187000</v>
      </c>
      <c r="N210" s="33">
        <v>7210</v>
      </c>
      <c r="O210" s="33">
        <v>2478</v>
      </c>
      <c r="P210" s="34">
        <f t="shared" si="12"/>
        <v>6.1464999999999999E-2</v>
      </c>
      <c r="Q210" s="34">
        <f t="shared" si="13"/>
        <v>5.8437500000000003E-2</v>
      </c>
      <c r="R210" s="35" t="str">
        <f t="shared" si="14"/>
        <v/>
      </c>
      <c r="S210" s="32" t="str">
        <f>IF(AND(L210&gt;=INDEX(Succès!$D$10:$D$13,MATCH(A210,Succès!$A$10:$A$13,0)),P210&gt;=INDEX(Succès!$E$10:$E$13,MATCH(A210,Succès!$A$10:$A$13,0))),"Succès complet",IF(P210&gt;=INDEX(Succès!$E$10:$E$13,MATCH(A210,Succès!$A$10:$A$13,0)),"Engagé, portée modeste",IF(L210&gt;=INDEX(Succès!$D$10:$D$13,MATCH(A210,Succès!$A$10:$A$13,0)),"Portée sans engagement","Standard")))</f>
        <v>Standard</v>
      </c>
      <c r="T210" s="32">
        <f t="shared" si="15"/>
        <v>0</v>
      </c>
    </row>
    <row r="211" spans="1:20">
      <c r="A211" s="32" t="s">
        <v>46</v>
      </c>
      <c r="B211" s="32" t="s">
        <v>707</v>
      </c>
      <c r="C211" s="32" t="s">
        <v>697</v>
      </c>
      <c r="D211" s="32" t="s">
        <v>698</v>
      </c>
      <c r="E211" s="32" t="s">
        <v>93</v>
      </c>
      <c r="F211" s="32" t="s">
        <v>505</v>
      </c>
      <c r="G211" s="33"/>
      <c r="H211" s="32">
        <v>15</v>
      </c>
      <c r="I211" s="32">
        <v>3</v>
      </c>
      <c r="J211" s="32">
        <v>106</v>
      </c>
      <c r="K211" s="32">
        <v>0</v>
      </c>
      <c r="L211" s="33">
        <v>2400000</v>
      </c>
      <c r="M211" s="33">
        <v>116500</v>
      </c>
      <c r="N211" s="33">
        <v>7805</v>
      </c>
      <c r="O211" s="33">
        <v>2317</v>
      </c>
      <c r="P211" s="34">
        <f t="shared" si="12"/>
        <v>5.2759166666666669E-2</v>
      </c>
      <c r="Q211" s="34">
        <f t="shared" si="13"/>
        <v>4.8541666666666664E-2</v>
      </c>
      <c r="R211" s="35" t="str">
        <f t="shared" si="14"/>
        <v/>
      </c>
      <c r="S211" s="32" t="str">
        <f>IF(AND(L211&gt;=INDEX(Succès!$D$10:$D$13,MATCH(A211,Succès!$A$10:$A$13,0)),P211&gt;=INDEX(Succès!$E$10:$E$13,MATCH(A211,Succès!$A$10:$A$13,0))),"Succès complet",IF(P211&gt;=INDEX(Succès!$E$10:$E$13,MATCH(A211,Succès!$A$10:$A$13,0)),"Engagé, portée modeste",IF(L211&gt;=INDEX(Succès!$D$10:$D$13,MATCH(A211,Succès!$A$10:$A$13,0)),"Portée sans engagement","Standard")))</f>
        <v>Standard</v>
      </c>
      <c r="T211" s="32">
        <f t="shared" si="15"/>
        <v>0</v>
      </c>
    </row>
    <row r="212" spans="1:20">
      <c r="A212" s="32" t="s">
        <v>46</v>
      </c>
      <c r="B212" s="32" t="s">
        <v>708</v>
      </c>
      <c r="C212" s="32" t="s">
        <v>697</v>
      </c>
      <c r="D212" s="32" t="s">
        <v>698</v>
      </c>
      <c r="E212" s="32" t="s">
        <v>93</v>
      </c>
      <c r="F212" s="32" t="s">
        <v>505</v>
      </c>
      <c r="G212" s="33"/>
      <c r="H212" s="32">
        <v>29</v>
      </c>
      <c r="I212" s="32">
        <v>1</v>
      </c>
      <c r="J212" s="32">
        <v>129</v>
      </c>
      <c r="K212" s="32">
        <v>0</v>
      </c>
      <c r="L212" s="33">
        <v>42800000</v>
      </c>
      <c r="M212" s="33">
        <v>247100</v>
      </c>
      <c r="N212" s="33">
        <v>5280</v>
      </c>
      <c r="O212" s="33">
        <v>5655</v>
      </c>
      <c r="P212" s="34">
        <f t="shared" si="12"/>
        <v>6.0288551401869155E-3</v>
      </c>
      <c r="Q212" s="34">
        <f t="shared" si="13"/>
        <v>5.7733644859813086E-3</v>
      </c>
      <c r="R212" s="35" t="str">
        <f t="shared" si="14"/>
        <v/>
      </c>
      <c r="S212" s="32" t="str">
        <f>IF(AND(L212&gt;=INDEX(Succès!$D$10:$D$13,MATCH(A212,Succès!$A$10:$A$13,0)),P212&gt;=INDEX(Succès!$E$10:$E$13,MATCH(A212,Succès!$A$10:$A$13,0))),"Succès complet",IF(P212&gt;=INDEX(Succès!$E$10:$E$13,MATCH(A212,Succès!$A$10:$A$13,0)),"Engagé, portée modeste",IF(L212&gt;=INDEX(Succès!$D$10:$D$13,MATCH(A212,Succès!$A$10:$A$13,0)),"Portée sans engagement","Standard")))</f>
        <v>Portée sans engagement</v>
      </c>
      <c r="T212" s="32">
        <f t="shared" si="15"/>
        <v>0</v>
      </c>
    </row>
    <row r="213" spans="1:20">
      <c r="A213" s="32" t="s">
        <v>46</v>
      </c>
      <c r="B213" s="32" t="s">
        <v>709</v>
      </c>
      <c r="C213" s="32" t="s">
        <v>697</v>
      </c>
      <c r="D213" s="32" t="s">
        <v>698</v>
      </c>
      <c r="E213" s="32" t="s">
        <v>93</v>
      </c>
      <c r="F213" s="32" t="s">
        <v>505</v>
      </c>
      <c r="G213" s="33"/>
      <c r="H213" s="32">
        <v>15</v>
      </c>
      <c r="I213" s="32">
        <v>2</v>
      </c>
      <c r="J213" s="32">
        <v>139</v>
      </c>
      <c r="K213" s="32">
        <v>0</v>
      </c>
      <c r="L213" s="33">
        <v>901700</v>
      </c>
      <c r="M213" s="33">
        <v>45700</v>
      </c>
      <c r="N213" s="33">
        <v>24200</v>
      </c>
      <c r="O213" s="33">
        <v>5825</v>
      </c>
      <c r="P213" s="34">
        <f t="shared" si="12"/>
        <v>8.3980259509814789E-2</v>
      </c>
      <c r="Q213" s="34">
        <f t="shared" si="13"/>
        <v>5.0682045026061884E-2</v>
      </c>
      <c r="R213" s="35" t="str">
        <f t="shared" si="14"/>
        <v/>
      </c>
      <c r="S213" s="32" t="str">
        <f>IF(AND(L213&gt;=INDEX(Succès!$D$10:$D$13,MATCH(A213,Succès!$A$10:$A$13,0)),P213&gt;=INDEX(Succès!$E$10:$E$13,MATCH(A213,Succès!$A$10:$A$13,0))),"Succès complet",IF(P213&gt;=INDEX(Succès!$E$10:$E$13,MATCH(A213,Succès!$A$10:$A$13,0)),"Engagé, portée modeste",IF(L213&gt;=INDEX(Succès!$D$10:$D$13,MATCH(A213,Succès!$A$10:$A$13,0)),"Portée sans engagement","Standard")))</f>
        <v>Engagé, portée modeste</v>
      </c>
      <c r="T213" s="32">
        <f t="shared" si="15"/>
        <v>0</v>
      </c>
    </row>
    <row r="214" spans="1:20">
      <c r="A214" s="32" t="s">
        <v>46</v>
      </c>
      <c r="B214" s="32" t="s">
        <v>710</v>
      </c>
      <c r="C214" s="32" t="s">
        <v>697</v>
      </c>
      <c r="D214" s="32" t="s">
        <v>698</v>
      </c>
      <c r="E214" s="32" t="s">
        <v>93</v>
      </c>
      <c r="F214" s="32" t="s">
        <v>505</v>
      </c>
      <c r="G214" s="33"/>
      <c r="H214" s="32">
        <v>21</v>
      </c>
      <c r="I214" s="32">
        <v>1</v>
      </c>
      <c r="J214" s="32">
        <v>139</v>
      </c>
      <c r="K214" s="32">
        <v>0</v>
      </c>
      <c r="L214" s="33">
        <v>1400000</v>
      </c>
      <c r="M214" s="33">
        <v>62700</v>
      </c>
      <c r="N214" s="33">
        <v>21200</v>
      </c>
      <c r="O214" s="33">
        <v>8925</v>
      </c>
      <c r="P214" s="34">
        <f t="shared" si="12"/>
        <v>6.6303571428571434E-2</v>
      </c>
      <c r="Q214" s="34">
        <f t="shared" si="13"/>
        <v>4.4785714285714283E-2</v>
      </c>
      <c r="R214" s="35" t="str">
        <f t="shared" si="14"/>
        <v/>
      </c>
      <c r="S214" s="32" t="str">
        <f>IF(AND(L214&gt;=INDEX(Succès!$D$10:$D$13,MATCH(A214,Succès!$A$10:$A$13,0)),P214&gt;=INDEX(Succès!$E$10:$E$13,MATCH(A214,Succès!$A$10:$A$13,0))),"Succès complet",IF(P214&gt;=INDEX(Succès!$E$10:$E$13,MATCH(A214,Succès!$A$10:$A$13,0)),"Engagé, portée modeste",IF(L214&gt;=INDEX(Succès!$D$10:$D$13,MATCH(A214,Succès!$A$10:$A$13,0)),"Portée sans engagement","Standard")))</f>
        <v>Standard</v>
      </c>
      <c r="T214" s="32">
        <f t="shared" si="15"/>
        <v>0</v>
      </c>
    </row>
    <row r="215" spans="1:20">
      <c r="A215" s="32" t="s">
        <v>46</v>
      </c>
      <c r="B215" s="32" t="s">
        <v>711</v>
      </c>
      <c r="C215" s="32" t="s">
        <v>697</v>
      </c>
      <c r="D215" s="32" t="s">
        <v>698</v>
      </c>
      <c r="E215" s="32" t="s">
        <v>93</v>
      </c>
      <c r="F215" s="32" t="s">
        <v>505</v>
      </c>
      <c r="G215" s="33"/>
      <c r="H215" s="32">
        <v>15</v>
      </c>
      <c r="I215" s="32">
        <v>1</v>
      </c>
      <c r="J215" s="32">
        <v>136</v>
      </c>
      <c r="K215" s="32">
        <v>0</v>
      </c>
      <c r="L215" s="33">
        <v>1500000</v>
      </c>
      <c r="M215" s="33">
        <v>72100</v>
      </c>
      <c r="N215" s="33">
        <v>7180</v>
      </c>
      <c r="O215" s="33">
        <v>4548</v>
      </c>
      <c r="P215" s="34">
        <f t="shared" si="12"/>
        <v>5.5885333333333335E-2</v>
      </c>
      <c r="Q215" s="34">
        <f t="shared" si="13"/>
        <v>4.8066666666666667E-2</v>
      </c>
      <c r="R215" s="35" t="str">
        <f t="shared" si="14"/>
        <v/>
      </c>
      <c r="S215" s="32" t="str">
        <f>IF(AND(L215&gt;=INDEX(Succès!$D$10:$D$13,MATCH(A215,Succès!$A$10:$A$13,0)),P215&gt;=INDEX(Succès!$E$10:$E$13,MATCH(A215,Succès!$A$10:$A$13,0))),"Succès complet",IF(P215&gt;=INDEX(Succès!$E$10:$E$13,MATCH(A215,Succès!$A$10:$A$13,0)),"Engagé, portée modeste",IF(L215&gt;=INDEX(Succès!$D$10:$D$13,MATCH(A215,Succès!$A$10:$A$13,0)),"Portée sans engagement","Standard")))</f>
        <v>Standard</v>
      </c>
      <c r="T215" s="32">
        <f t="shared" si="15"/>
        <v>0</v>
      </c>
    </row>
    <row r="216" spans="1:20">
      <c r="A216" s="32" t="s">
        <v>46</v>
      </c>
      <c r="B216" s="32" t="s">
        <v>712</v>
      </c>
      <c r="C216" s="32" t="s">
        <v>697</v>
      </c>
      <c r="D216" s="32" t="s">
        <v>698</v>
      </c>
      <c r="E216" s="32" t="s">
        <v>93</v>
      </c>
      <c r="F216" s="32" t="s">
        <v>505</v>
      </c>
      <c r="G216" s="33"/>
      <c r="H216" s="32">
        <v>15</v>
      </c>
      <c r="I216" s="32">
        <v>2</v>
      </c>
      <c r="J216" s="32">
        <v>133</v>
      </c>
      <c r="K216" s="32">
        <v>0</v>
      </c>
      <c r="L216" s="33">
        <v>574800</v>
      </c>
      <c r="M216" s="33">
        <v>24500</v>
      </c>
      <c r="N216" s="33">
        <v>2754</v>
      </c>
      <c r="O216" s="33">
        <v>1037</v>
      </c>
      <c r="P216" s="34">
        <f t="shared" si="12"/>
        <v>4.9218858733472509E-2</v>
      </c>
      <c r="Q216" s="34">
        <f t="shared" si="13"/>
        <v>4.2623521224773836E-2</v>
      </c>
      <c r="R216" s="35" t="str">
        <f t="shared" si="14"/>
        <v/>
      </c>
      <c r="S216" s="32" t="str">
        <f>IF(AND(L216&gt;=INDEX(Succès!$D$10:$D$13,MATCH(A216,Succès!$A$10:$A$13,0)),P216&gt;=INDEX(Succès!$E$10:$E$13,MATCH(A216,Succès!$A$10:$A$13,0))),"Succès complet",IF(P216&gt;=INDEX(Succès!$E$10:$E$13,MATCH(A216,Succès!$A$10:$A$13,0)),"Engagé, portée modeste",IF(L216&gt;=INDEX(Succès!$D$10:$D$13,MATCH(A216,Succès!$A$10:$A$13,0)),"Portée sans engagement","Standard")))</f>
        <v>Standard</v>
      </c>
      <c r="T216" s="32">
        <f t="shared" si="15"/>
        <v>0</v>
      </c>
    </row>
    <row r="217" spans="1:20">
      <c r="A217" s="32" t="s">
        <v>46</v>
      </c>
      <c r="B217" s="32" t="s">
        <v>713</v>
      </c>
      <c r="C217" s="32" t="s">
        <v>697</v>
      </c>
      <c r="D217" s="32" t="s">
        <v>698</v>
      </c>
      <c r="E217" s="32" t="s">
        <v>93</v>
      </c>
      <c r="F217" s="32" t="s">
        <v>505</v>
      </c>
      <c r="G217" s="33"/>
      <c r="H217" s="32">
        <v>45</v>
      </c>
      <c r="I217" s="32">
        <v>1</v>
      </c>
      <c r="J217" s="32">
        <v>141</v>
      </c>
      <c r="K217" s="32">
        <v>0</v>
      </c>
      <c r="L217" s="33">
        <v>6200000</v>
      </c>
      <c r="M217" s="33">
        <v>79700</v>
      </c>
      <c r="N217" s="33">
        <v>11300</v>
      </c>
      <c r="O217" s="33">
        <v>3537</v>
      </c>
      <c r="P217" s="34">
        <f t="shared" si="12"/>
        <v>1.5247903225806452E-2</v>
      </c>
      <c r="Q217" s="34">
        <f t="shared" si="13"/>
        <v>1.285483870967742E-2</v>
      </c>
      <c r="R217" s="35" t="str">
        <f t="shared" si="14"/>
        <v/>
      </c>
      <c r="S217" s="32" t="str">
        <f>IF(AND(L217&gt;=INDEX(Succès!$D$10:$D$13,MATCH(A217,Succès!$A$10:$A$13,0)),P217&gt;=INDEX(Succès!$E$10:$E$13,MATCH(A217,Succès!$A$10:$A$13,0))),"Succès complet",IF(P217&gt;=INDEX(Succès!$E$10:$E$13,MATCH(A217,Succès!$A$10:$A$13,0)),"Engagé, portée modeste",IF(L217&gt;=INDEX(Succès!$D$10:$D$13,MATCH(A217,Succès!$A$10:$A$13,0)),"Portée sans engagement","Standard")))</f>
        <v>Portée sans engagement</v>
      </c>
      <c r="T217" s="32">
        <f t="shared" si="15"/>
        <v>0</v>
      </c>
    </row>
    <row r="218" spans="1:20">
      <c r="A218" s="32" t="s">
        <v>46</v>
      </c>
      <c r="B218" s="32" t="s">
        <v>714</v>
      </c>
      <c r="C218" s="32" t="s">
        <v>697</v>
      </c>
      <c r="D218" s="32" t="s">
        <v>698</v>
      </c>
      <c r="E218" s="32" t="s">
        <v>93</v>
      </c>
      <c r="F218" s="32" t="s">
        <v>505</v>
      </c>
      <c r="G218" s="33"/>
      <c r="H218" s="32">
        <v>23</v>
      </c>
      <c r="I218" s="32">
        <v>0</v>
      </c>
      <c r="J218" s="32">
        <v>122</v>
      </c>
      <c r="K218" s="32">
        <v>0</v>
      </c>
      <c r="L218" s="33">
        <v>1800000</v>
      </c>
      <c r="M218" s="33">
        <v>88100</v>
      </c>
      <c r="N218" s="33">
        <v>7211</v>
      </c>
      <c r="O218" s="33">
        <v>2824</v>
      </c>
      <c r="P218" s="34">
        <f t="shared" si="12"/>
        <v>5.4519444444444447E-2</v>
      </c>
      <c r="Q218" s="34">
        <f t="shared" si="13"/>
        <v>4.8944444444444443E-2</v>
      </c>
      <c r="R218" s="35" t="str">
        <f t="shared" si="14"/>
        <v/>
      </c>
      <c r="S218" s="32" t="str">
        <f>IF(AND(L218&gt;=INDEX(Succès!$D$10:$D$13,MATCH(A218,Succès!$A$10:$A$13,0)),P218&gt;=INDEX(Succès!$E$10:$E$13,MATCH(A218,Succès!$A$10:$A$13,0))),"Succès complet",IF(P218&gt;=INDEX(Succès!$E$10:$E$13,MATCH(A218,Succès!$A$10:$A$13,0)),"Engagé, portée modeste",IF(L218&gt;=INDEX(Succès!$D$10:$D$13,MATCH(A218,Succès!$A$10:$A$13,0)),"Portée sans engagement","Standard")))</f>
        <v>Standard</v>
      </c>
      <c r="T218" s="32">
        <f t="shared" si="15"/>
        <v>0</v>
      </c>
    </row>
    <row r="219" spans="1:20">
      <c r="A219" s="32" t="s">
        <v>46</v>
      </c>
      <c r="B219" s="32" t="s">
        <v>715</v>
      </c>
      <c r="C219" s="32" t="s">
        <v>697</v>
      </c>
      <c r="D219" s="32" t="s">
        <v>698</v>
      </c>
      <c r="E219" s="32" t="s">
        <v>93</v>
      </c>
      <c r="F219" s="32" t="s">
        <v>505</v>
      </c>
      <c r="G219" s="33"/>
      <c r="H219" s="32">
        <v>15</v>
      </c>
      <c r="I219" s="32">
        <v>2</v>
      </c>
      <c r="J219" s="32">
        <v>147</v>
      </c>
      <c r="K219" s="32">
        <v>0</v>
      </c>
      <c r="L219" s="33">
        <v>830400</v>
      </c>
      <c r="M219" s="33">
        <v>32000</v>
      </c>
      <c r="N219" s="33">
        <v>5560</v>
      </c>
      <c r="O219" s="33">
        <v>1197</v>
      </c>
      <c r="P219" s="34">
        <f t="shared" si="12"/>
        <v>4.6672687861271676E-2</v>
      </c>
      <c r="Q219" s="34">
        <f t="shared" si="13"/>
        <v>3.8535645472061654E-2</v>
      </c>
      <c r="R219" s="35" t="str">
        <f t="shared" si="14"/>
        <v/>
      </c>
      <c r="S219" s="32" t="str">
        <f>IF(AND(L219&gt;=INDEX(Succès!$D$10:$D$13,MATCH(A219,Succès!$A$10:$A$13,0)),P219&gt;=INDEX(Succès!$E$10:$E$13,MATCH(A219,Succès!$A$10:$A$13,0))),"Succès complet",IF(P219&gt;=INDEX(Succès!$E$10:$E$13,MATCH(A219,Succès!$A$10:$A$13,0)),"Engagé, portée modeste",IF(L219&gt;=INDEX(Succès!$D$10:$D$13,MATCH(A219,Succès!$A$10:$A$13,0)),"Portée sans engagement","Standard")))</f>
        <v>Standard</v>
      </c>
      <c r="T219" s="32">
        <f t="shared" si="15"/>
        <v>0</v>
      </c>
    </row>
    <row r="220" spans="1:20">
      <c r="A220" s="32" t="s">
        <v>46</v>
      </c>
      <c r="B220" s="32" t="s">
        <v>716</v>
      </c>
      <c r="C220" s="32" t="s">
        <v>697</v>
      </c>
      <c r="D220" s="32" t="s">
        <v>698</v>
      </c>
      <c r="E220" s="32" t="s">
        <v>93</v>
      </c>
      <c r="F220" s="32" t="s">
        <v>505</v>
      </c>
      <c r="G220" s="33"/>
      <c r="H220" s="32">
        <v>30</v>
      </c>
      <c r="I220" s="32">
        <v>2</v>
      </c>
      <c r="J220" s="32">
        <v>98</v>
      </c>
      <c r="K220" s="32">
        <v>0</v>
      </c>
      <c r="L220" s="33">
        <v>865700</v>
      </c>
      <c r="M220" s="33">
        <v>40800</v>
      </c>
      <c r="N220" s="33">
        <v>6065</v>
      </c>
      <c r="O220" s="33">
        <v>3261</v>
      </c>
      <c r="P220" s="34">
        <f t="shared" si="12"/>
        <v>5.7902275615109161E-2</v>
      </c>
      <c r="Q220" s="34">
        <f t="shared" si="13"/>
        <v>4.712949058565323E-2</v>
      </c>
      <c r="R220" s="35" t="str">
        <f t="shared" si="14"/>
        <v/>
      </c>
      <c r="S220" s="32" t="str">
        <f>IF(AND(L220&gt;=INDEX(Succès!$D$10:$D$13,MATCH(A220,Succès!$A$10:$A$13,0)),P220&gt;=INDEX(Succès!$E$10:$E$13,MATCH(A220,Succès!$A$10:$A$13,0))),"Succès complet",IF(P220&gt;=INDEX(Succès!$E$10:$E$13,MATCH(A220,Succès!$A$10:$A$13,0)),"Engagé, portée modeste",IF(L220&gt;=INDEX(Succès!$D$10:$D$13,MATCH(A220,Succès!$A$10:$A$13,0)),"Portée sans engagement","Standard")))</f>
        <v>Standard</v>
      </c>
      <c r="T220" s="32">
        <f t="shared" si="15"/>
        <v>0</v>
      </c>
    </row>
    <row r="221" spans="1:20">
      <c r="A221" s="32" t="s">
        <v>46</v>
      </c>
      <c r="B221" s="32" t="s">
        <v>717</v>
      </c>
      <c r="C221" s="32" t="s">
        <v>697</v>
      </c>
      <c r="D221" s="32" t="s">
        <v>698</v>
      </c>
      <c r="E221" s="32" t="s">
        <v>93</v>
      </c>
      <c r="F221" s="32" t="s">
        <v>505</v>
      </c>
      <c r="G221" s="33"/>
      <c r="H221" s="32">
        <v>15</v>
      </c>
      <c r="I221" s="32">
        <v>3</v>
      </c>
      <c r="J221" s="32">
        <v>88</v>
      </c>
      <c r="K221" s="32">
        <v>0</v>
      </c>
      <c r="L221" s="33">
        <v>1200000</v>
      </c>
      <c r="M221" s="33">
        <v>58100</v>
      </c>
      <c r="N221" s="33">
        <v>9506</v>
      </c>
      <c r="O221" s="33">
        <v>2584</v>
      </c>
      <c r="P221" s="34">
        <f t="shared" si="12"/>
        <v>5.8491666666666664E-2</v>
      </c>
      <c r="Q221" s="34">
        <f t="shared" si="13"/>
        <v>4.8416666666666663E-2</v>
      </c>
      <c r="R221" s="35" t="str">
        <f t="shared" si="14"/>
        <v/>
      </c>
      <c r="S221" s="32" t="str">
        <f>IF(AND(L221&gt;=INDEX(Succès!$D$10:$D$13,MATCH(A221,Succès!$A$10:$A$13,0)),P221&gt;=INDEX(Succès!$E$10:$E$13,MATCH(A221,Succès!$A$10:$A$13,0))),"Succès complet",IF(P221&gt;=INDEX(Succès!$E$10:$E$13,MATCH(A221,Succès!$A$10:$A$13,0)),"Engagé, portée modeste",IF(L221&gt;=INDEX(Succès!$D$10:$D$13,MATCH(A221,Succès!$A$10:$A$13,0)),"Portée sans engagement","Standard")))</f>
        <v>Standard</v>
      </c>
      <c r="T221" s="32">
        <f t="shared" si="15"/>
        <v>0</v>
      </c>
    </row>
    <row r="222" spans="1:20">
      <c r="A222" s="32" t="s">
        <v>46</v>
      </c>
      <c r="B222" s="32" t="s">
        <v>718</v>
      </c>
      <c r="C222" s="32" t="s">
        <v>697</v>
      </c>
      <c r="D222" s="32" t="s">
        <v>698</v>
      </c>
      <c r="E222" s="32" t="s">
        <v>93</v>
      </c>
      <c r="F222" s="32" t="s">
        <v>505</v>
      </c>
      <c r="G222" s="33"/>
      <c r="H222" s="32">
        <v>33</v>
      </c>
      <c r="I222" s="32">
        <v>2</v>
      </c>
      <c r="J222" s="32">
        <v>147</v>
      </c>
      <c r="K222" s="32">
        <v>0</v>
      </c>
      <c r="L222" s="33">
        <v>3500000</v>
      </c>
      <c r="M222" s="33">
        <v>205300</v>
      </c>
      <c r="N222" s="33">
        <v>5113</v>
      </c>
      <c r="O222" s="33">
        <v>2227</v>
      </c>
      <c r="P222" s="34">
        <f t="shared" si="12"/>
        <v>6.0754285714285712E-2</v>
      </c>
      <c r="Q222" s="34">
        <f t="shared" si="13"/>
        <v>5.8657142857142859E-2</v>
      </c>
      <c r="R222" s="35" t="str">
        <f t="shared" si="14"/>
        <v/>
      </c>
      <c r="S222" s="32" t="str">
        <f>IF(AND(L222&gt;=INDEX(Succès!$D$10:$D$13,MATCH(A222,Succès!$A$10:$A$13,0)),P222&gt;=INDEX(Succès!$E$10:$E$13,MATCH(A222,Succès!$A$10:$A$13,0))),"Succès complet",IF(P222&gt;=INDEX(Succès!$E$10:$E$13,MATCH(A222,Succès!$A$10:$A$13,0)),"Engagé, portée modeste",IF(L222&gt;=INDEX(Succès!$D$10:$D$13,MATCH(A222,Succès!$A$10:$A$13,0)),"Portée sans engagement","Standard")))</f>
        <v>Portée sans engagement</v>
      </c>
      <c r="T222" s="32">
        <f t="shared" si="15"/>
        <v>0</v>
      </c>
    </row>
    <row r="223" spans="1:20">
      <c r="A223" s="32" t="s">
        <v>46</v>
      </c>
      <c r="B223" s="32" t="s">
        <v>719</v>
      </c>
      <c r="C223" s="32" t="s">
        <v>697</v>
      </c>
      <c r="D223" s="32" t="s">
        <v>698</v>
      </c>
      <c r="E223" s="32" t="s">
        <v>93</v>
      </c>
      <c r="F223" s="32" t="s">
        <v>505</v>
      </c>
      <c r="G223" s="33"/>
      <c r="H223" s="32">
        <v>27</v>
      </c>
      <c r="I223" s="32">
        <v>4</v>
      </c>
      <c r="J223" s="32">
        <v>114</v>
      </c>
      <c r="K223" s="32">
        <v>0</v>
      </c>
      <c r="L223" s="33">
        <v>964800</v>
      </c>
      <c r="M223" s="33">
        <v>48400</v>
      </c>
      <c r="N223" s="33">
        <v>2702</v>
      </c>
      <c r="O223" s="33">
        <v>988</v>
      </c>
      <c r="P223" s="34">
        <f t="shared" si="12"/>
        <v>5.3990464344941959E-2</v>
      </c>
      <c r="Q223" s="34">
        <f t="shared" si="13"/>
        <v>5.0165837479270316E-2</v>
      </c>
      <c r="R223" s="35" t="str">
        <f t="shared" si="14"/>
        <v/>
      </c>
      <c r="S223" s="32" t="str">
        <f>IF(AND(L223&gt;=INDEX(Succès!$D$10:$D$13,MATCH(A223,Succès!$A$10:$A$13,0)),P223&gt;=INDEX(Succès!$E$10:$E$13,MATCH(A223,Succès!$A$10:$A$13,0))),"Succès complet",IF(P223&gt;=INDEX(Succès!$E$10:$E$13,MATCH(A223,Succès!$A$10:$A$13,0)),"Engagé, portée modeste",IF(L223&gt;=INDEX(Succès!$D$10:$D$13,MATCH(A223,Succès!$A$10:$A$13,0)),"Portée sans engagement","Standard")))</f>
        <v>Standard</v>
      </c>
      <c r="T223" s="32">
        <f t="shared" si="15"/>
        <v>0</v>
      </c>
    </row>
    <row r="224" spans="1:20">
      <c r="A224" s="32" t="s">
        <v>46</v>
      </c>
      <c r="B224" s="32" t="s">
        <v>720</v>
      </c>
      <c r="C224" s="32" t="s">
        <v>697</v>
      </c>
      <c r="D224" s="32" t="s">
        <v>698</v>
      </c>
      <c r="E224" s="32" t="s">
        <v>93</v>
      </c>
      <c r="F224" s="32" t="s">
        <v>505</v>
      </c>
      <c r="G224" s="33"/>
      <c r="H224" s="32">
        <v>15</v>
      </c>
      <c r="I224" s="32">
        <v>3</v>
      </c>
      <c r="J224" s="32">
        <v>119</v>
      </c>
      <c r="K224" s="32">
        <v>0</v>
      </c>
      <c r="L224" s="33">
        <v>954000</v>
      </c>
      <c r="M224" s="33">
        <v>33000</v>
      </c>
      <c r="N224" s="33">
        <v>2574</v>
      </c>
      <c r="O224" s="33">
        <v>1155</v>
      </c>
      <c r="P224" s="34">
        <f t="shared" si="12"/>
        <v>3.85E-2</v>
      </c>
      <c r="Q224" s="34">
        <f t="shared" si="13"/>
        <v>3.4591194968553458E-2</v>
      </c>
      <c r="R224" s="35" t="str">
        <f t="shared" si="14"/>
        <v/>
      </c>
      <c r="S224" s="32" t="str">
        <f>IF(AND(L224&gt;=INDEX(Succès!$D$10:$D$13,MATCH(A224,Succès!$A$10:$A$13,0)),P224&gt;=INDEX(Succès!$E$10:$E$13,MATCH(A224,Succès!$A$10:$A$13,0))),"Succès complet",IF(P224&gt;=INDEX(Succès!$E$10:$E$13,MATCH(A224,Succès!$A$10:$A$13,0)),"Engagé, portée modeste",IF(L224&gt;=INDEX(Succès!$D$10:$D$13,MATCH(A224,Succès!$A$10:$A$13,0)),"Portée sans engagement","Standard")))</f>
        <v>Standard</v>
      </c>
      <c r="T224" s="32">
        <f t="shared" si="15"/>
        <v>0</v>
      </c>
    </row>
    <row r="225" spans="1:20">
      <c r="A225" s="32" t="s">
        <v>46</v>
      </c>
      <c r="B225" s="32" t="s">
        <v>721</v>
      </c>
      <c r="C225" s="32" t="s">
        <v>697</v>
      </c>
      <c r="D225" s="32" t="s">
        <v>698</v>
      </c>
      <c r="E225" s="32" t="s">
        <v>93</v>
      </c>
      <c r="F225" s="32" t="s">
        <v>505</v>
      </c>
      <c r="G225" s="33"/>
      <c r="H225" s="32">
        <v>44</v>
      </c>
      <c r="I225" s="32">
        <v>1</v>
      </c>
      <c r="J225" s="32">
        <v>117</v>
      </c>
      <c r="K225" s="32">
        <v>0</v>
      </c>
      <c r="L225" s="33">
        <v>2200000</v>
      </c>
      <c r="M225" s="33">
        <v>77500</v>
      </c>
      <c r="N225" s="33">
        <v>25700</v>
      </c>
      <c r="O225" s="33">
        <v>3299</v>
      </c>
      <c r="P225" s="34">
        <f t="shared" si="12"/>
        <v>4.8408636363636362E-2</v>
      </c>
      <c r="Q225" s="34">
        <f t="shared" si="13"/>
        <v>3.5227272727272725E-2</v>
      </c>
      <c r="R225" s="35" t="str">
        <f t="shared" si="14"/>
        <v/>
      </c>
      <c r="S225" s="32" t="str">
        <f>IF(AND(L225&gt;=INDEX(Succès!$D$10:$D$13,MATCH(A225,Succès!$A$10:$A$13,0)),P225&gt;=INDEX(Succès!$E$10:$E$13,MATCH(A225,Succès!$A$10:$A$13,0))),"Succès complet",IF(P225&gt;=INDEX(Succès!$E$10:$E$13,MATCH(A225,Succès!$A$10:$A$13,0)),"Engagé, portée modeste",IF(L225&gt;=INDEX(Succès!$D$10:$D$13,MATCH(A225,Succès!$A$10:$A$13,0)),"Portée sans engagement","Standard")))</f>
        <v>Standard</v>
      </c>
      <c r="T225" s="32">
        <f t="shared" si="15"/>
        <v>0</v>
      </c>
    </row>
    <row r="226" spans="1:20">
      <c r="A226" s="32" t="s">
        <v>46</v>
      </c>
      <c r="B226" s="32" t="s">
        <v>722</v>
      </c>
      <c r="C226" s="32" t="s">
        <v>697</v>
      </c>
      <c r="D226" s="32" t="s">
        <v>698</v>
      </c>
      <c r="E226" s="32" t="s">
        <v>93</v>
      </c>
      <c r="F226" s="32" t="s">
        <v>505</v>
      </c>
      <c r="G226" s="33"/>
      <c r="H226" s="32">
        <v>12</v>
      </c>
      <c r="I226" s="32">
        <v>1</v>
      </c>
      <c r="J226" s="32">
        <v>142</v>
      </c>
      <c r="K226" s="32">
        <v>0</v>
      </c>
      <c r="L226" s="33">
        <v>10400000</v>
      </c>
      <c r="M226" s="33">
        <v>751300</v>
      </c>
      <c r="N226" s="33">
        <v>10500</v>
      </c>
      <c r="O226" s="33">
        <v>11800</v>
      </c>
      <c r="P226" s="34">
        <f t="shared" si="12"/>
        <v>7.4384615384615382E-2</v>
      </c>
      <c r="Q226" s="34">
        <f t="shared" si="13"/>
        <v>7.2240384615384609E-2</v>
      </c>
      <c r="R226" s="35" t="str">
        <f t="shared" si="14"/>
        <v/>
      </c>
      <c r="S226" s="32" t="str">
        <f>IF(AND(L226&gt;=INDEX(Succès!$D$10:$D$13,MATCH(A226,Succès!$A$10:$A$13,0)),P226&gt;=INDEX(Succès!$E$10:$E$13,MATCH(A226,Succès!$A$10:$A$13,0))),"Succès complet",IF(P226&gt;=INDEX(Succès!$E$10:$E$13,MATCH(A226,Succès!$A$10:$A$13,0)),"Engagé, portée modeste",IF(L226&gt;=INDEX(Succès!$D$10:$D$13,MATCH(A226,Succès!$A$10:$A$13,0)),"Portée sans engagement","Standard")))</f>
        <v>Succès complet</v>
      </c>
      <c r="T226" s="32">
        <f t="shared" si="15"/>
        <v>1</v>
      </c>
    </row>
    <row r="227" spans="1:20">
      <c r="A227" s="32" t="s">
        <v>46</v>
      </c>
      <c r="B227" s="32" t="s">
        <v>723</v>
      </c>
      <c r="C227" s="32" t="s">
        <v>697</v>
      </c>
      <c r="D227" s="32" t="s">
        <v>698</v>
      </c>
      <c r="E227" s="32" t="s">
        <v>93</v>
      </c>
      <c r="F227" s="32" t="s">
        <v>505</v>
      </c>
      <c r="G227" s="33"/>
      <c r="H227" s="32">
        <v>60</v>
      </c>
      <c r="I227" s="32">
        <v>2</v>
      </c>
      <c r="J227" s="32">
        <v>94</v>
      </c>
      <c r="K227" s="32">
        <v>0</v>
      </c>
      <c r="L227" s="33">
        <v>144900000</v>
      </c>
      <c r="M227" s="33">
        <v>938300</v>
      </c>
      <c r="N227" s="33">
        <v>5849</v>
      </c>
      <c r="O227" s="33">
        <v>15900</v>
      </c>
      <c r="P227" s="34">
        <f t="shared" si="12"/>
        <v>6.6255969634230506E-3</v>
      </c>
      <c r="Q227" s="34">
        <f t="shared" si="13"/>
        <v>6.4755003450655624E-3</v>
      </c>
      <c r="R227" s="35" t="str">
        <f t="shared" si="14"/>
        <v/>
      </c>
      <c r="S227" s="32" t="str">
        <f>IF(AND(L227&gt;=INDEX(Succès!$D$10:$D$13,MATCH(A227,Succès!$A$10:$A$13,0)),P227&gt;=INDEX(Succès!$E$10:$E$13,MATCH(A227,Succès!$A$10:$A$13,0))),"Succès complet",IF(P227&gt;=INDEX(Succès!$E$10:$E$13,MATCH(A227,Succès!$A$10:$A$13,0)),"Engagé, portée modeste",IF(L227&gt;=INDEX(Succès!$D$10:$D$13,MATCH(A227,Succès!$A$10:$A$13,0)),"Portée sans engagement","Standard")))</f>
        <v>Portée sans engagement</v>
      </c>
      <c r="T227" s="32">
        <f t="shared" si="15"/>
        <v>0</v>
      </c>
    </row>
    <row r="228" spans="1:20">
      <c r="A228" s="32" t="s">
        <v>46</v>
      </c>
      <c r="B228" s="32" t="s">
        <v>724</v>
      </c>
      <c r="C228" s="32" t="s">
        <v>697</v>
      </c>
      <c r="D228" s="32" t="s">
        <v>698</v>
      </c>
      <c r="E228" s="32" t="s">
        <v>93</v>
      </c>
      <c r="F228" s="32" t="s">
        <v>505</v>
      </c>
      <c r="G228" s="33"/>
      <c r="H228" s="32">
        <v>15</v>
      </c>
      <c r="I228" s="32">
        <v>2</v>
      </c>
      <c r="J228" s="32">
        <v>141</v>
      </c>
      <c r="K228" s="32">
        <v>0</v>
      </c>
      <c r="L228" s="33">
        <v>1300000</v>
      </c>
      <c r="M228" s="33">
        <v>61800</v>
      </c>
      <c r="N228" s="33">
        <v>15200</v>
      </c>
      <c r="O228" s="33">
        <v>3484</v>
      </c>
      <c r="P228" s="34">
        <f t="shared" si="12"/>
        <v>6.1910769230769228E-2</v>
      </c>
      <c r="Q228" s="34">
        <f t="shared" si="13"/>
        <v>4.7538461538461536E-2</v>
      </c>
      <c r="R228" s="35" t="str">
        <f t="shared" si="14"/>
        <v/>
      </c>
      <c r="S228" s="32" t="str">
        <f>IF(AND(L228&gt;=INDEX(Succès!$D$10:$D$13,MATCH(A228,Succès!$A$10:$A$13,0)),P228&gt;=INDEX(Succès!$E$10:$E$13,MATCH(A228,Succès!$A$10:$A$13,0))),"Succès complet",IF(P228&gt;=INDEX(Succès!$E$10:$E$13,MATCH(A228,Succès!$A$10:$A$13,0)),"Engagé, portée modeste",IF(L228&gt;=INDEX(Succès!$D$10:$D$13,MATCH(A228,Succès!$A$10:$A$13,0)),"Portée sans engagement","Standard")))</f>
        <v>Standard</v>
      </c>
      <c r="T228" s="32">
        <f t="shared" si="15"/>
        <v>0</v>
      </c>
    </row>
    <row r="229" spans="1:20">
      <c r="A229" s="32" t="s">
        <v>46</v>
      </c>
      <c r="B229" s="32" t="s">
        <v>725</v>
      </c>
      <c r="C229" s="32" t="s">
        <v>697</v>
      </c>
      <c r="D229" s="32" t="s">
        <v>698</v>
      </c>
      <c r="E229" s="32" t="s">
        <v>93</v>
      </c>
      <c r="F229" s="32" t="s">
        <v>505</v>
      </c>
      <c r="G229" s="33"/>
      <c r="H229" s="32">
        <v>19</v>
      </c>
      <c r="I229" s="32">
        <v>1</v>
      </c>
      <c r="J229" s="32">
        <v>124</v>
      </c>
      <c r="K229" s="32">
        <v>0</v>
      </c>
      <c r="L229" s="33">
        <v>1800000</v>
      </c>
      <c r="M229" s="33">
        <v>58600</v>
      </c>
      <c r="N229" s="33">
        <v>5388</v>
      </c>
      <c r="O229" s="33">
        <v>2906</v>
      </c>
      <c r="P229" s="34">
        <f t="shared" si="12"/>
        <v>3.7163333333333333E-2</v>
      </c>
      <c r="Q229" s="34">
        <f t="shared" si="13"/>
        <v>3.2555555555555553E-2</v>
      </c>
      <c r="R229" s="35" t="str">
        <f t="shared" si="14"/>
        <v/>
      </c>
      <c r="S229" s="32" t="str">
        <f>IF(AND(L229&gt;=INDEX(Succès!$D$10:$D$13,MATCH(A229,Succès!$A$10:$A$13,0)),P229&gt;=INDEX(Succès!$E$10:$E$13,MATCH(A229,Succès!$A$10:$A$13,0))),"Succès complet",IF(P229&gt;=INDEX(Succès!$E$10:$E$13,MATCH(A229,Succès!$A$10:$A$13,0)),"Engagé, portée modeste",IF(L229&gt;=INDEX(Succès!$D$10:$D$13,MATCH(A229,Succès!$A$10:$A$13,0)),"Portée sans engagement","Standard")))</f>
        <v>Standard</v>
      </c>
      <c r="T229" s="32">
        <f t="shared" si="15"/>
        <v>0</v>
      </c>
    </row>
    <row r="230" spans="1:20">
      <c r="A230" s="32" t="s">
        <v>46</v>
      </c>
      <c r="B230" s="32" t="s">
        <v>726</v>
      </c>
      <c r="C230" s="32" t="s">
        <v>697</v>
      </c>
      <c r="D230" s="32" t="s">
        <v>698</v>
      </c>
      <c r="E230" s="32" t="s">
        <v>93</v>
      </c>
      <c r="F230" s="32" t="s">
        <v>505</v>
      </c>
      <c r="G230" s="33"/>
      <c r="H230" s="32">
        <v>21</v>
      </c>
      <c r="I230" s="32">
        <v>3</v>
      </c>
      <c r="J230" s="32">
        <v>135</v>
      </c>
      <c r="K230" s="32">
        <v>0</v>
      </c>
      <c r="L230" s="33">
        <v>1400000</v>
      </c>
      <c r="M230" s="33">
        <v>49000</v>
      </c>
      <c r="N230" s="33">
        <v>4397</v>
      </c>
      <c r="O230" s="33">
        <v>2007</v>
      </c>
      <c r="P230" s="34">
        <f t="shared" si="12"/>
        <v>3.9574285714285715E-2</v>
      </c>
      <c r="Q230" s="34">
        <f t="shared" si="13"/>
        <v>3.5000000000000003E-2</v>
      </c>
      <c r="R230" s="35" t="str">
        <f t="shared" si="14"/>
        <v/>
      </c>
      <c r="S230" s="32" t="str">
        <f>IF(AND(L230&gt;=INDEX(Succès!$D$10:$D$13,MATCH(A230,Succès!$A$10:$A$13,0)),P230&gt;=INDEX(Succès!$E$10:$E$13,MATCH(A230,Succès!$A$10:$A$13,0))),"Succès complet",IF(P230&gt;=INDEX(Succès!$E$10:$E$13,MATCH(A230,Succès!$A$10:$A$13,0)),"Engagé, portée modeste",IF(L230&gt;=INDEX(Succès!$D$10:$D$13,MATCH(A230,Succès!$A$10:$A$13,0)),"Portée sans engagement","Standard")))</f>
        <v>Standard</v>
      </c>
      <c r="T230" s="32">
        <f t="shared" si="15"/>
        <v>0</v>
      </c>
    </row>
    <row r="231" spans="1:20">
      <c r="A231" s="32" t="s">
        <v>46</v>
      </c>
      <c r="B231" s="32" t="s">
        <v>727</v>
      </c>
      <c r="C231" s="32" t="s">
        <v>697</v>
      </c>
      <c r="D231" s="32" t="s">
        <v>698</v>
      </c>
      <c r="E231" s="32" t="s">
        <v>93</v>
      </c>
      <c r="F231" s="32" t="s">
        <v>505</v>
      </c>
      <c r="G231" s="33"/>
      <c r="H231" s="32">
        <v>19</v>
      </c>
      <c r="I231" s="32">
        <v>3</v>
      </c>
      <c r="J231" s="32">
        <v>146</v>
      </c>
      <c r="K231" s="32">
        <v>0</v>
      </c>
      <c r="L231" s="33">
        <v>1200000</v>
      </c>
      <c r="M231" s="33">
        <v>55600</v>
      </c>
      <c r="N231" s="33">
        <v>7672</v>
      </c>
      <c r="O231" s="33">
        <v>2087</v>
      </c>
      <c r="P231" s="34">
        <f t="shared" si="12"/>
        <v>5.4465833333333331E-2</v>
      </c>
      <c r="Q231" s="34">
        <f t="shared" si="13"/>
        <v>4.6333333333333331E-2</v>
      </c>
      <c r="R231" s="35" t="str">
        <f t="shared" si="14"/>
        <v/>
      </c>
      <c r="S231" s="32" t="str">
        <f>IF(AND(L231&gt;=INDEX(Succès!$D$10:$D$13,MATCH(A231,Succès!$A$10:$A$13,0)),P231&gt;=INDEX(Succès!$E$10:$E$13,MATCH(A231,Succès!$A$10:$A$13,0))),"Succès complet",IF(P231&gt;=INDEX(Succès!$E$10:$E$13,MATCH(A231,Succès!$A$10:$A$13,0)),"Engagé, portée modeste",IF(L231&gt;=INDEX(Succès!$D$10:$D$13,MATCH(A231,Succès!$A$10:$A$13,0)),"Portée sans engagement","Standard")))</f>
        <v>Standard</v>
      </c>
      <c r="T231" s="32">
        <f t="shared" si="15"/>
        <v>0</v>
      </c>
    </row>
    <row r="232" spans="1:20">
      <c r="A232" s="32" t="s">
        <v>46</v>
      </c>
      <c r="B232" s="32" t="s">
        <v>728</v>
      </c>
      <c r="C232" s="32" t="s">
        <v>697</v>
      </c>
      <c r="D232" s="32" t="s">
        <v>698</v>
      </c>
      <c r="E232" s="32" t="s">
        <v>93</v>
      </c>
      <c r="F232" s="32" t="s">
        <v>505</v>
      </c>
      <c r="G232" s="33"/>
      <c r="H232" s="32">
        <v>15</v>
      </c>
      <c r="I232" s="32">
        <v>2</v>
      </c>
      <c r="J232" s="32">
        <v>94</v>
      </c>
      <c r="K232" s="32">
        <v>0</v>
      </c>
      <c r="L232" s="33">
        <v>1800000</v>
      </c>
      <c r="M232" s="33">
        <v>75500</v>
      </c>
      <c r="N232" s="33">
        <v>14200</v>
      </c>
      <c r="O232" s="33">
        <v>1761</v>
      </c>
      <c r="P232" s="34">
        <f t="shared" si="12"/>
        <v>5.0811666666666665E-2</v>
      </c>
      <c r="Q232" s="34">
        <f t="shared" si="13"/>
        <v>4.1944444444444444E-2</v>
      </c>
      <c r="R232" s="35" t="str">
        <f t="shared" si="14"/>
        <v/>
      </c>
      <c r="S232" s="32" t="str">
        <f>IF(AND(L232&gt;=INDEX(Succès!$D$10:$D$13,MATCH(A232,Succès!$A$10:$A$13,0)),P232&gt;=INDEX(Succès!$E$10:$E$13,MATCH(A232,Succès!$A$10:$A$13,0))),"Succès complet",IF(P232&gt;=INDEX(Succès!$E$10:$E$13,MATCH(A232,Succès!$A$10:$A$13,0)),"Engagé, portée modeste",IF(L232&gt;=INDEX(Succès!$D$10:$D$13,MATCH(A232,Succès!$A$10:$A$13,0)),"Portée sans engagement","Standard")))</f>
        <v>Standard</v>
      </c>
      <c r="T232" s="32">
        <f t="shared" si="15"/>
        <v>0</v>
      </c>
    </row>
    <row r="233" spans="1:20">
      <c r="A233" s="32" t="s">
        <v>46</v>
      </c>
      <c r="B233" s="32" t="s">
        <v>729</v>
      </c>
      <c r="C233" s="32" t="s">
        <v>697</v>
      </c>
      <c r="D233" s="32" t="s">
        <v>698</v>
      </c>
      <c r="E233" s="32" t="s">
        <v>93</v>
      </c>
      <c r="F233" s="32" t="s">
        <v>505</v>
      </c>
      <c r="G233" s="33"/>
      <c r="H233" s="32">
        <v>15</v>
      </c>
      <c r="I233" s="32">
        <v>2</v>
      </c>
      <c r="J233" s="32">
        <v>112</v>
      </c>
      <c r="K233" s="32">
        <v>0</v>
      </c>
      <c r="L233" s="33">
        <v>2100000</v>
      </c>
      <c r="M233" s="33">
        <v>87700</v>
      </c>
      <c r="N233" s="33">
        <v>28200</v>
      </c>
      <c r="O233" s="33">
        <v>2207</v>
      </c>
      <c r="P233" s="34">
        <f t="shared" si="12"/>
        <v>5.6241428571428574E-2</v>
      </c>
      <c r="Q233" s="34">
        <f t="shared" si="13"/>
        <v>4.1761904761904764E-2</v>
      </c>
      <c r="R233" s="35" t="str">
        <f t="shared" si="14"/>
        <v/>
      </c>
      <c r="S233" s="32" t="str">
        <f>IF(AND(L233&gt;=INDEX(Succès!$D$10:$D$13,MATCH(A233,Succès!$A$10:$A$13,0)),P233&gt;=INDEX(Succès!$E$10:$E$13,MATCH(A233,Succès!$A$10:$A$13,0))),"Succès complet",IF(P233&gt;=INDEX(Succès!$E$10:$E$13,MATCH(A233,Succès!$A$10:$A$13,0)),"Engagé, portée modeste",IF(L233&gt;=INDEX(Succès!$D$10:$D$13,MATCH(A233,Succès!$A$10:$A$13,0)),"Portée sans engagement","Standard")))</f>
        <v>Standard</v>
      </c>
      <c r="T233" s="32">
        <f t="shared" si="15"/>
        <v>0</v>
      </c>
    </row>
    <row r="234" spans="1:20">
      <c r="A234" s="32" t="s">
        <v>46</v>
      </c>
      <c r="B234" s="32" t="s">
        <v>730</v>
      </c>
      <c r="C234" s="32" t="s">
        <v>697</v>
      </c>
      <c r="D234" s="32" t="s">
        <v>698</v>
      </c>
      <c r="E234" s="32" t="s">
        <v>93</v>
      </c>
      <c r="F234" s="32" t="s">
        <v>505</v>
      </c>
      <c r="G234" s="33"/>
      <c r="H234" s="32">
        <v>60</v>
      </c>
      <c r="I234" s="32">
        <v>2</v>
      </c>
      <c r="J234" s="32">
        <v>127</v>
      </c>
      <c r="K234" s="32">
        <v>0</v>
      </c>
      <c r="L234" s="33">
        <v>11100000</v>
      </c>
      <c r="M234" s="33">
        <v>726700</v>
      </c>
      <c r="N234" s="33">
        <v>34800</v>
      </c>
      <c r="O234" s="33">
        <v>10800</v>
      </c>
      <c r="P234" s="34">
        <f t="shared" si="12"/>
        <v>6.9576576576576579E-2</v>
      </c>
      <c r="Q234" s="34">
        <f t="shared" si="13"/>
        <v>6.5468468468468474E-2</v>
      </c>
      <c r="R234" s="35" t="str">
        <f t="shared" si="14"/>
        <v/>
      </c>
      <c r="S234" s="32" t="str">
        <f>IF(AND(L234&gt;=INDEX(Succès!$D$10:$D$13,MATCH(A234,Succès!$A$10:$A$13,0)),P234&gt;=INDEX(Succès!$E$10:$E$13,MATCH(A234,Succès!$A$10:$A$13,0))),"Succès complet",IF(P234&gt;=INDEX(Succès!$E$10:$E$13,MATCH(A234,Succès!$A$10:$A$13,0)),"Engagé, portée modeste",IF(L234&gt;=INDEX(Succès!$D$10:$D$13,MATCH(A234,Succès!$A$10:$A$13,0)),"Portée sans engagement","Standard")))</f>
        <v>Succès complet</v>
      </c>
      <c r="T234" s="32">
        <f t="shared" si="15"/>
        <v>1</v>
      </c>
    </row>
    <row r="235" spans="1:20">
      <c r="A235" s="32" t="s">
        <v>46</v>
      </c>
      <c r="B235" s="32" t="s">
        <v>731</v>
      </c>
      <c r="C235" s="32" t="s">
        <v>697</v>
      </c>
      <c r="D235" s="32" t="s">
        <v>698</v>
      </c>
      <c r="E235" s="32" t="s">
        <v>93</v>
      </c>
      <c r="F235" s="32" t="s">
        <v>505</v>
      </c>
      <c r="G235" s="33"/>
      <c r="H235" s="32">
        <v>20</v>
      </c>
      <c r="I235" s="32">
        <v>1</v>
      </c>
      <c r="J235" s="32">
        <v>63</v>
      </c>
      <c r="K235" s="32">
        <v>0</v>
      </c>
      <c r="L235" s="33">
        <v>9800000</v>
      </c>
      <c r="M235" s="33">
        <v>621600</v>
      </c>
      <c r="N235" s="33">
        <v>49300</v>
      </c>
      <c r="O235" s="33">
        <v>11600</v>
      </c>
      <c r="P235" s="34">
        <f t="shared" si="12"/>
        <v>6.9642857142857145E-2</v>
      </c>
      <c r="Q235" s="34">
        <f t="shared" si="13"/>
        <v>6.3428571428571431E-2</v>
      </c>
      <c r="R235" s="35" t="str">
        <f t="shared" si="14"/>
        <v/>
      </c>
      <c r="S235" s="32" t="str">
        <f>IF(AND(L235&gt;=INDEX(Succès!$D$10:$D$13,MATCH(A235,Succès!$A$10:$A$13,0)),P235&gt;=INDEX(Succès!$E$10:$E$13,MATCH(A235,Succès!$A$10:$A$13,0))),"Succès complet",IF(P235&gt;=INDEX(Succès!$E$10:$E$13,MATCH(A235,Succès!$A$10:$A$13,0)),"Engagé, portée modeste",IF(L235&gt;=INDEX(Succès!$D$10:$D$13,MATCH(A235,Succès!$A$10:$A$13,0)),"Portée sans engagement","Standard")))</f>
        <v>Succès complet</v>
      </c>
      <c r="T235" s="32">
        <f t="shared" si="15"/>
        <v>1</v>
      </c>
    </row>
    <row r="236" spans="1:20">
      <c r="A236" s="32" t="s">
        <v>46</v>
      </c>
      <c r="B236" s="32" t="s">
        <v>732</v>
      </c>
      <c r="C236" s="32" t="s">
        <v>697</v>
      </c>
      <c r="D236" s="32" t="s">
        <v>698</v>
      </c>
      <c r="E236" s="32" t="s">
        <v>93</v>
      </c>
      <c r="F236" s="32" t="s">
        <v>505</v>
      </c>
      <c r="G236" s="33"/>
      <c r="H236" s="32">
        <v>15</v>
      </c>
      <c r="I236" s="32">
        <v>2</v>
      </c>
      <c r="J236" s="32">
        <v>112</v>
      </c>
      <c r="K236" s="32">
        <v>0</v>
      </c>
      <c r="L236" s="33">
        <v>2500000</v>
      </c>
      <c r="M236" s="33">
        <v>112400</v>
      </c>
      <c r="N236" s="33">
        <v>19800</v>
      </c>
      <c r="O236" s="33">
        <v>1446</v>
      </c>
      <c r="P236" s="34">
        <f t="shared" si="12"/>
        <v>5.3458400000000003E-2</v>
      </c>
      <c r="Q236" s="34">
        <f t="shared" si="13"/>
        <v>4.496E-2</v>
      </c>
      <c r="R236" s="35" t="str">
        <f t="shared" si="14"/>
        <v/>
      </c>
      <c r="S236" s="32" t="str">
        <f>IF(AND(L236&gt;=INDEX(Succès!$D$10:$D$13,MATCH(A236,Succès!$A$10:$A$13,0)),P236&gt;=INDEX(Succès!$E$10:$E$13,MATCH(A236,Succès!$A$10:$A$13,0))),"Succès complet",IF(P236&gt;=INDEX(Succès!$E$10:$E$13,MATCH(A236,Succès!$A$10:$A$13,0)),"Engagé, portée modeste",IF(L236&gt;=INDEX(Succès!$D$10:$D$13,MATCH(A236,Succès!$A$10:$A$13,0)),"Portée sans engagement","Standard")))</f>
        <v>Standard</v>
      </c>
      <c r="T236" s="32">
        <f t="shared" si="15"/>
        <v>0</v>
      </c>
    </row>
    <row r="237" spans="1:20">
      <c r="A237" s="32" t="s">
        <v>46</v>
      </c>
      <c r="B237" s="32" t="s">
        <v>733</v>
      </c>
      <c r="C237" s="32" t="s">
        <v>697</v>
      </c>
      <c r="D237" s="32" t="s">
        <v>698</v>
      </c>
      <c r="E237" s="32" t="s">
        <v>93</v>
      </c>
      <c r="F237" s="32" t="s">
        <v>505</v>
      </c>
      <c r="G237" s="33"/>
      <c r="H237" s="32">
        <v>15</v>
      </c>
      <c r="I237" s="32">
        <v>2</v>
      </c>
      <c r="J237" s="32">
        <v>104</v>
      </c>
      <c r="K237" s="32">
        <v>0</v>
      </c>
      <c r="L237" s="33">
        <v>2700000</v>
      </c>
      <c r="M237" s="33">
        <v>100900</v>
      </c>
      <c r="N237" s="33">
        <v>16400</v>
      </c>
      <c r="O237" s="33">
        <v>1374</v>
      </c>
      <c r="P237" s="34">
        <f t="shared" si="12"/>
        <v>4.395333333333333E-2</v>
      </c>
      <c r="Q237" s="34">
        <f t="shared" si="13"/>
        <v>3.7370370370370373E-2</v>
      </c>
      <c r="R237" s="35" t="str">
        <f t="shared" si="14"/>
        <v/>
      </c>
      <c r="S237" s="32" t="str">
        <f>IF(AND(L237&gt;=INDEX(Succès!$D$10:$D$13,MATCH(A237,Succès!$A$10:$A$13,0)),P237&gt;=INDEX(Succès!$E$10:$E$13,MATCH(A237,Succès!$A$10:$A$13,0))),"Succès complet",IF(P237&gt;=INDEX(Succès!$E$10:$E$13,MATCH(A237,Succès!$A$10:$A$13,0)),"Engagé, portée modeste",IF(L237&gt;=INDEX(Succès!$D$10:$D$13,MATCH(A237,Succès!$A$10:$A$13,0)),"Portée sans engagement","Standard")))</f>
        <v>Standard</v>
      </c>
      <c r="T237" s="32">
        <f t="shared" si="15"/>
        <v>0</v>
      </c>
    </row>
    <row r="238" spans="1:20">
      <c r="A238" s="32" t="s">
        <v>46</v>
      </c>
      <c r="B238" s="32" t="s">
        <v>734</v>
      </c>
      <c r="C238" s="32" t="s">
        <v>697</v>
      </c>
      <c r="D238" s="32" t="s">
        <v>698</v>
      </c>
      <c r="E238" s="32" t="s">
        <v>93</v>
      </c>
      <c r="F238" s="32" t="s">
        <v>505</v>
      </c>
      <c r="G238" s="33"/>
      <c r="H238" s="32">
        <v>59</v>
      </c>
      <c r="I238" s="32">
        <v>1</v>
      </c>
      <c r="J238" s="32">
        <v>121</v>
      </c>
      <c r="K238" s="32">
        <v>0</v>
      </c>
      <c r="L238" s="33">
        <v>2400000</v>
      </c>
      <c r="M238" s="33">
        <v>102000</v>
      </c>
      <c r="N238" s="33">
        <v>20600</v>
      </c>
      <c r="O238" s="33">
        <v>1553</v>
      </c>
      <c r="P238" s="34">
        <f t="shared" si="12"/>
        <v>5.1730416666666668E-2</v>
      </c>
      <c r="Q238" s="34">
        <f t="shared" si="13"/>
        <v>4.2500000000000003E-2</v>
      </c>
      <c r="R238" s="35" t="str">
        <f t="shared" si="14"/>
        <v/>
      </c>
      <c r="S238" s="32" t="str">
        <f>IF(AND(L238&gt;=INDEX(Succès!$D$10:$D$13,MATCH(A238,Succès!$A$10:$A$13,0)),P238&gt;=INDEX(Succès!$E$10:$E$13,MATCH(A238,Succès!$A$10:$A$13,0))),"Succès complet",IF(P238&gt;=INDEX(Succès!$E$10:$E$13,MATCH(A238,Succès!$A$10:$A$13,0)),"Engagé, portée modeste",IF(L238&gt;=INDEX(Succès!$D$10:$D$13,MATCH(A238,Succès!$A$10:$A$13,0)),"Portée sans engagement","Standard")))</f>
        <v>Standard</v>
      </c>
      <c r="T238" s="32">
        <f t="shared" si="15"/>
        <v>0</v>
      </c>
    </row>
    <row r="239" spans="1:20">
      <c r="A239" s="32" t="s">
        <v>46</v>
      </c>
      <c r="B239" s="32" t="s">
        <v>735</v>
      </c>
      <c r="C239" s="32" t="s">
        <v>697</v>
      </c>
      <c r="D239" s="32" t="s">
        <v>698</v>
      </c>
      <c r="E239" s="32" t="s">
        <v>93</v>
      </c>
      <c r="F239" s="32" t="s">
        <v>505</v>
      </c>
      <c r="G239" s="33"/>
      <c r="H239" s="32">
        <v>15</v>
      </c>
      <c r="I239" s="32">
        <v>1</v>
      </c>
      <c r="J239" s="32">
        <v>115</v>
      </c>
      <c r="K239" s="32">
        <v>0</v>
      </c>
      <c r="L239" s="33">
        <v>2000000</v>
      </c>
      <c r="M239" s="33">
        <v>103500</v>
      </c>
      <c r="N239" s="33">
        <v>23900</v>
      </c>
      <c r="O239" s="33">
        <v>1990</v>
      </c>
      <c r="P239" s="34">
        <f t="shared" si="12"/>
        <v>6.4695000000000003E-2</v>
      </c>
      <c r="Q239" s="34">
        <f t="shared" si="13"/>
        <v>5.1749999999999997E-2</v>
      </c>
      <c r="R239" s="35" t="str">
        <f t="shared" si="14"/>
        <v/>
      </c>
      <c r="S239" s="32" t="str">
        <f>IF(AND(L239&gt;=INDEX(Succès!$D$10:$D$13,MATCH(A239,Succès!$A$10:$A$13,0)),P239&gt;=INDEX(Succès!$E$10:$E$13,MATCH(A239,Succès!$A$10:$A$13,0))),"Succès complet",IF(P239&gt;=INDEX(Succès!$E$10:$E$13,MATCH(A239,Succès!$A$10:$A$13,0)),"Engagé, portée modeste",IF(L239&gt;=INDEX(Succès!$D$10:$D$13,MATCH(A239,Succès!$A$10:$A$13,0)),"Portée sans engagement","Standard")))</f>
        <v>Standard</v>
      </c>
      <c r="T239" s="32">
        <f t="shared" si="15"/>
        <v>0</v>
      </c>
    </row>
    <row r="240" spans="1:20">
      <c r="A240" s="32" t="s">
        <v>46</v>
      </c>
      <c r="B240" s="32" t="s">
        <v>736</v>
      </c>
      <c r="C240" s="32" t="s">
        <v>697</v>
      </c>
      <c r="D240" s="32" t="s">
        <v>698</v>
      </c>
      <c r="E240" s="32" t="s">
        <v>93</v>
      </c>
      <c r="F240" s="32" t="s">
        <v>505</v>
      </c>
      <c r="G240" s="33"/>
      <c r="H240" s="32">
        <v>30</v>
      </c>
      <c r="I240" s="32">
        <v>1</v>
      </c>
      <c r="J240" s="32">
        <v>93</v>
      </c>
      <c r="K240" s="32">
        <v>0</v>
      </c>
      <c r="L240" s="33">
        <v>3700000</v>
      </c>
      <c r="M240" s="33">
        <v>139100</v>
      </c>
      <c r="N240" s="33">
        <v>8453</v>
      </c>
      <c r="O240" s="33">
        <v>1694</v>
      </c>
      <c r="P240" s="34">
        <f t="shared" si="12"/>
        <v>4.0337027027027024E-2</v>
      </c>
      <c r="Q240" s="34">
        <f t="shared" si="13"/>
        <v>3.7594594594594598E-2</v>
      </c>
      <c r="R240" s="35" t="str">
        <f t="shared" si="14"/>
        <v/>
      </c>
      <c r="S240" s="32" t="str">
        <f>IF(AND(L240&gt;=INDEX(Succès!$D$10:$D$13,MATCH(A240,Succès!$A$10:$A$13,0)),P240&gt;=INDEX(Succès!$E$10:$E$13,MATCH(A240,Succès!$A$10:$A$13,0))),"Succès complet",IF(P240&gt;=INDEX(Succès!$E$10:$E$13,MATCH(A240,Succès!$A$10:$A$13,0)),"Engagé, portée modeste",IF(L240&gt;=INDEX(Succès!$D$10:$D$13,MATCH(A240,Succès!$A$10:$A$13,0)),"Portée sans engagement","Standard")))</f>
        <v>Portée sans engagement</v>
      </c>
      <c r="T240" s="32">
        <f t="shared" si="15"/>
        <v>0</v>
      </c>
    </row>
    <row r="241" spans="1:20">
      <c r="A241" s="32" t="s">
        <v>46</v>
      </c>
      <c r="B241" s="32" t="s">
        <v>737</v>
      </c>
      <c r="C241" s="32" t="s">
        <v>697</v>
      </c>
      <c r="D241" s="32" t="s">
        <v>698</v>
      </c>
      <c r="E241" s="32" t="s">
        <v>93</v>
      </c>
      <c r="F241" s="32" t="s">
        <v>505</v>
      </c>
      <c r="G241" s="33"/>
      <c r="H241" s="32">
        <v>40</v>
      </c>
      <c r="I241" s="32">
        <v>0</v>
      </c>
      <c r="J241" s="32">
        <v>92</v>
      </c>
      <c r="K241" s="32">
        <v>0</v>
      </c>
      <c r="L241" s="33">
        <v>2300000</v>
      </c>
      <c r="M241" s="33">
        <v>126600</v>
      </c>
      <c r="N241" s="33">
        <v>27800</v>
      </c>
      <c r="O241" s="33">
        <v>3407</v>
      </c>
      <c r="P241" s="34">
        <f t="shared" si="12"/>
        <v>6.8611739130434779E-2</v>
      </c>
      <c r="Q241" s="34">
        <f t="shared" si="13"/>
        <v>5.5043478260869562E-2</v>
      </c>
      <c r="R241" s="35" t="str">
        <f t="shared" si="14"/>
        <v/>
      </c>
      <c r="S241" s="32" t="str">
        <f>IF(AND(L241&gt;=INDEX(Succès!$D$10:$D$13,MATCH(A241,Succès!$A$10:$A$13,0)),P241&gt;=INDEX(Succès!$E$10:$E$13,MATCH(A241,Succès!$A$10:$A$13,0))),"Succès complet",IF(P241&gt;=INDEX(Succès!$E$10:$E$13,MATCH(A241,Succès!$A$10:$A$13,0)),"Engagé, portée modeste",IF(L241&gt;=INDEX(Succès!$D$10:$D$13,MATCH(A241,Succès!$A$10:$A$13,0)),"Portée sans engagement","Standard")))</f>
        <v>Engagé, portée modeste</v>
      </c>
      <c r="T241" s="32">
        <f t="shared" si="15"/>
        <v>0</v>
      </c>
    </row>
    <row r="242" spans="1:20">
      <c r="A242" s="32" t="s">
        <v>46</v>
      </c>
      <c r="B242" s="32" t="s">
        <v>738</v>
      </c>
      <c r="C242" s="32" t="s">
        <v>697</v>
      </c>
      <c r="D242" s="32" t="s">
        <v>698</v>
      </c>
      <c r="E242" s="32" t="s">
        <v>93</v>
      </c>
      <c r="F242" s="32" t="s">
        <v>505</v>
      </c>
      <c r="G242" s="33"/>
      <c r="H242" s="32">
        <v>59</v>
      </c>
      <c r="I242" s="32">
        <v>0</v>
      </c>
      <c r="J242" s="32">
        <v>88</v>
      </c>
      <c r="K242" s="32">
        <v>0</v>
      </c>
      <c r="L242" s="33">
        <v>5500000</v>
      </c>
      <c r="M242" s="33">
        <v>144400</v>
      </c>
      <c r="N242" s="33">
        <v>9957</v>
      </c>
      <c r="O242" s="33">
        <v>2174</v>
      </c>
      <c r="P242" s="34">
        <f t="shared" si="12"/>
        <v>2.8460181818181818E-2</v>
      </c>
      <c r="Q242" s="34">
        <f t="shared" si="13"/>
        <v>2.6254545454545454E-2</v>
      </c>
      <c r="R242" s="35" t="str">
        <f t="shared" si="14"/>
        <v/>
      </c>
      <c r="S242" s="32" t="str">
        <f>IF(AND(L242&gt;=INDEX(Succès!$D$10:$D$13,MATCH(A242,Succès!$A$10:$A$13,0)),P242&gt;=INDEX(Succès!$E$10:$E$13,MATCH(A242,Succès!$A$10:$A$13,0))),"Succès complet",IF(P242&gt;=INDEX(Succès!$E$10:$E$13,MATCH(A242,Succès!$A$10:$A$13,0)),"Engagé, portée modeste",IF(L242&gt;=INDEX(Succès!$D$10:$D$13,MATCH(A242,Succès!$A$10:$A$13,0)),"Portée sans engagement","Standard")))</f>
        <v>Portée sans engagement</v>
      </c>
      <c r="T242" s="32">
        <f t="shared" si="15"/>
        <v>0</v>
      </c>
    </row>
    <row r="243" spans="1:20">
      <c r="A243" s="32" t="s">
        <v>46</v>
      </c>
      <c r="B243" s="32" t="s">
        <v>739</v>
      </c>
      <c r="C243" s="32" t="s">
        <v>697</v>
      </c>
      <c r="D243" s="32" t="s">
        <v>698</v>
      </c>
      <c r="E243" s="32" t="s">
        <v>93</v>
      </c>
      <c r="F243" s="32" t="s">
        <v>505</v>
      </c>
      <c r="G243" s="33"/>
      <c r="H243" s="32">
        <v>41</v>
      </c>
      <c r="I243" s="32">
        <v>2</v>
      </c>
      <c r="J243" s="32">
        <v>137</v>
      </c>
      <c r="K243" s="32">
        <v>0</v>
      </c>
      <c r="L243" s="33">
        <v>1500000</v>
      </c>
      <c r="M243" s="33">
        <v>103800</v>
      </c>
      <c r="N243" s="33">
        <v>11500</v>
      </c>
      <c r="O243" s="33">
        <v>1485</v>
      </c>
      <c r="P243" s="34">
        <f t="shared" si="12"/>
        <v>7.7856666666666671E-2</v>
      </c>
      <c r="Q243" s="34">
        <f t="shared" si="13"/>
        <v>6.9199999999999998E-2</v>
      </c>
      <c r="R243" s="35" t="str">
        <f t="shared" si="14"/>
        <v/>
      </c>
      <c r="S243" s="32" t="str">
        <f>IF(AND(L243&gt;=INDEX(Succès!$D$10:$D$13,MATCH(A243,Succès!$A$10:$A$13,0)),P243&gt;=INDEX(Succès!$E$10:$E$13,MATCH(A243,Succès!$A$10:$A$13,0))),"Succès complet",IF(P243&gt;=INDEX(Succès!$E$10:$E$13,MATCH(A243,Succès!$A$10:$A$13,0)),"Engagé, portée modeste",IF(L243&gt;=INDEX(Succès!$D$10:$D$13,MATCH(A243,Succès!$A$10:$A$13,0)),"Portée sans engagement","Standard")))</f>
        <v>Engagé, portée modeste</v>
      </c>
      <c r="T243" s="32">
        <f t="shared" si="15"/>
        <v>0</v>
      </c>
    </row>
    <row r="244" spans="1:20">
      <c r="A244" s="32" t="s">
        <v>46</v>
      </c>
      <c r="B244" s="32" t="s">
        <v>740</v>
      </c>
      <c r="C244" s="32" t="s">
        <v>697</v>
      </c>
      <c r="D244" s="32" t="s">
        <v>698</v>
      </c>
      <c r="E244" s="32" t="s">
        <v>93</v>
      </c>
      <c r="F244" s="32" t="s">
        <v>505</v>
      </c>
      <c r="G244" s="33"/>
      <c r="H244" s="32">
        <v>23</v>
      </c>
      <c r="I244" s="32">
        <v>1</v>
      </c>
      <c r="J244" s="32">
        <v>132</v>
      </c>
      <c r="K244" s="32">
        <v>0</v>
      </c>
      <c r="L244" s="33">
        <v>5100000</v>
      </c>
      <c r="M244" s="33">
        <v>116800</v>
      </c>
      <c r="N244" s="33">
        <v>5160</v>
      </c>
      <c r="O244" s="33">
        <v>1141</v>
      </c>
      <c r="P244" s="34">
        <f t="shared" si="12"/>
        <v>2.4137450980392158E-2</v>
      </c>
      <c r="Q244" s="34">
        <f t="shared" si="13"/>
        <v>2.2901960784313724E-2</v>
      </c>
      <c r="R244" s="35" t="str">
        <f t="shared" si="14"/>
        <v/>
      </c>
      <c r="S244" s="32" t="str">
        <f>IF(AND(L244&gt;=INDEX(Succès!$D$10:$D$13,MATCH(A244,Succès!$A$10:$A$13,0)),P244&gt;=INDEX(Succès!$E$10:$E$13,MATCH(A244,Succès!$A$10:$A$13,0))),"Succès complet",IF(P244&gt;=INDEX(Succès!$E$10:$E$13,MATCH(A244,Succès!$A$10:$A$13,0)),"Engagé, portée modeste",IF(L244&gt;=INDEX(Succès!$D$10:$D$13,MATCH(A244,Succès!$A$10:$A$13,0)),"Portée sans engagement","Standard")))</f>
        <v>Portée sans engagement</v>
      </c>
      <c r="T244" s="32">
        <f t="shared" si="15"/>
        <v>0</v>
      </c>
    </row>
    <row r="245" spans="1:20">
      <c r="A245" s="32" t="s">
        <v>46</v>
      </c>
      <c r="B245" s="32" t="s">
        <v>741</v>
      </c>
      <c r="C245" s="32" t="s">
        <v>697</v>
      </c>
      <c r="D245" s="32" t="s">
        <v>698</v>
      </c>
      <c r="E245" s="32" t="s">
        <v>93</v>
      </c>
      <c r="F245" s="32" t="s">
        <v>505</v>
      </c>
      <c r="G245" s="33"/>
      <c r="H245" s="32">
        <v>22</v>
      </c>
      <c r="I245" s="32">
        <v>1</v>
      </c>
      <c r="J245" s="32">
        <v>125</v>
      </c>
      <c r="K245" s="32">
        <v>0</v>
      </c>
      <c r="L245" s="33">
        <v>121900000</v>
      </c>
      <c r="M245" s="33">
        <v>945300</v>
      </c>
      <c r="N245" s="33">
        <v>24100</v>
      </c>
      <c r="O245" s="33">
        <v>9136</v>
      </c>
      <c r="P245" s="34">
        <f t="shared" si="12"/>
        <v>8.0273666940114848E-3</v>
      </c>
      <c r="Q245" s="34">
        <f t="shared" si="13"/>
        <v>7.7547169811320758E-3</v>
      </c>
      <c r="R245" s="35" t="str">
        <f t="shared" si="14"/>
        <v/>
      </c>
      <c r="S245" s="32" t="str">
        <f>IF(AND(L245&gt;=INDEX(Succès!$D$10:$D$13,MATCH(A245,Succès!$A$10:$A$13,0)),P245&gt;=INDEX(Succès!$E$10:$E$13,MATCH(A245,Succès!$A$10:$A$13,0))),"Succès complet",IF(P245&gt;=INDEX(Succès!$E$10:$E$13,MATCH(A245,Succès!$A$10:$A$13,0)),"Engagé, portée modeste",IF(L245&gt;=INDEX(Succès!$D$10:$D$13,MATCH(A245,Succès!$A$10:$A$13,0)),"Portée sans engagement","Standard")))</f>
        <v>Portée sans engagement</v>
      </c>
      <c r="T245" s="32">
        <f t="shared" si="15"/>
        <v>0</v>
      </c>
    </row>
    <row r="246" spans="1:20">
      <c r="A246" s="32" t="s">
        <v>46</v>
      </c>
      <c r="B246" s="32" t="s">
        <v>742</v>
      </c>
      <c r="C246" s="32" t="s">
        <v>697</v>
      </c>
      <c r="D246" s="32" t="s">
        <v>698</v>
      </c>
      <c r="E246" s="32" t="s">
        <v>93</v>
      </c>
      <c r="F246" s="32" t="s">
        <v>505</v>
      </c>
      <c r="G246" s="33"/>
      <c r="H246" s="32">
        <v>20</v>
      </c>
      <c r="I246" s="32">
        <v>1</v>
      </c>
      <c r="J246" s="32">
        <v>146</v>
      </c>
      <c r="K246" s="32">
        <v>0</v>
      </c>
      <c r="L246" s="33">
        <v>1800000</v>
      </c>
      <c r="M246" s="33">
        <v>115100</v>
      </c>
      <c r="N246" s="33">
        <v>5125</v>
      </c>
      <c r="O246" s="33">
        <v>1344</v>
      </c>
      <c r="P246" s="34">
        <f t="shared" si="12"/>
        <v>6.7538333333333339E-2</v>
      </c>
      <c r="Q246" s="34">
        <f t="shared" si="13"/>
        <v>6.3944444444444443E-2</v>
      </c>
      <c r="R246" s="35" t="str">
        <f t="shared" si="14"/>
        <v/>
      </c>
      <c r="S246" s="32" t="str">
        <f>IF(AND(L246&gt;=INDEX(Succès!$D$10:$D$13,MATCH(A246,Succès!$A$10:$A$13,0)),P246&gt;=INDEX(Succès!$E$10:$E$13,MATCH(A246,Succès!$A$10:$A$13,0))),"Succès complet",IF(P246&gt;=INDEX(Succès!$E$10:$E$13,MATCH(A246,Succès!$A$10:$A$13,0)),"Engagé, portée modeste",IF(L246&gt;=INDEX(Succès!$D$10:$D$13,MATCH(A246,Succès!$A$10:$A$13,0)),"Portée sans engagement","Standard")))</f>
        <v>Engagé, portée modeste</v>
      </c>
      <c r="T246" s="32">
        <f t="shared" si="15"/>
        <v>0</v>
      </c>
    </row>
    <row r="247" spans="1:20">
      <c r="A247" s="32" t="s">
        <v>46</v>
      </c>
      <c r="B247" s="32" t="s">
        <v>743</v>
      </c>
      <c r="C247" s="32" t="s">
        <v>697</v>
      </c>
      <c r="D247" s="32" t="s">
        <v>698</v>
      </c>
      <c r="E247" s="32" t="s">
        <v>93</v>
      </c>
      <c r="F247" s="32" t="s">
        <v>505</v>
      </c>
      <c r="G247" s="33"/>
      <c r="H247" s="32">
        <v>18</v>
      </c>
      <c r="I247" s="32">
        <v>1</v>
      </c>
      <c r="J247" s="32">
        <v>148</v>
      </c>
      <c r="K247" s="32">
        <v>0</v>
      </c>
      <c r="L247" s="33">
        <v>3400000</v>
      </c>
      <c r="M247" s="33">
        <v>98000</v>
      </c>
      <c r="N247" s="33">
        <v>5948</v>
      </c>
      <c r="O247" s="33">
        <v>1227</v>
      </c>
      <c r="P247" s="34">
        <f t="shared" si="12"/>
        <v>3.0933823529411764E-2</v>
      </c>
      <c r="Q247" s="34">
        <f t="shared" si="13"/>
        <v>2.8823529411764706E-2</v>
      </c>
      <c r="R247" s="35" t="str">
        <f t="shared" si="14"/>
        <v/>
      </c>
      <c r="S247" s="32" t="str">
        <f>IF(AND(L247&gt;=INDEX(Succès!$D$10:$D$13,MATCH(A247,Succès!$A$10:$A$13,0)),P247&gt;=INDEX(Succès!$E$10:$E$13,MATCH(A247,Succès!$A$10:$A$13,0))),"Succès complet",IF(P247&gt;=INDEX(Succès!$E$10:$E$13,MATCH(A247,Succès!$A$10:$A$13,0)),"Engagé, portée modeste",IF(L247&gt;=INDEX(Succès!$D$10:$D$13,MATCH(A247,Succès!$A$10:$A$13,0)),"Portée sans engagement","Standard")))</f>
        <v>Portée sans engagement</v>
      </c>
      <c r="T247" s="32">
        <f t="shared" si="15"/>
        <v>0</v>
      </c>
    </row>
    <row r="248" spans="1:20">
      <c r="A248" s="32" t="s">
        <v>46</v>
      </c>
      <c r="B248" s="32" t="s">
        <v>744</v>
      </c>
      <c r="C248" s="32" t="s">
        <v>697</v>
      </c>
      <c r="D248" s="32" t="s">
        <v>698</v>
      </c>
      <c r="E248" s="32" t="s">
        <v>93</v>
      </c>
      <c r="F248" s="32" t="s">
        <v>505</v>
      </c>
      <c r="G248" s="33"/>
      <c r="H248" s="32">
        <v>15</v>
      </c>
      <c r="I248" s="32">
        <v>1</v>
      </c>
      <c r="J248" s="32">
        <v>142</v>
      </c>
      <c r="K248" s="32">
        <v>0</v>
      </c>
      <c r="L248" s="33">
        <v>2000000</v>
      </c>
      <c r="M248" s="33">
        <v>112700</v>
      </c>
      <c r="N248" s="33">
        <v>16700</v>
      </c>
      <c r="O248" s="33">
        <v>1369</v>
      </c>
      <c r="P248" s="34">
        <f t="shared" si="12"/>
        <v>6.5384499999999998E-2</v>
      </c>
      <c r="Q248" s="34">
        <f t="shared" si="13"/>
        <v>5.6349999999999997E-2</v>
      </c>
      <c r="R248" s="35" t="str">
        <f t="shared" si="14"/>
        <v/>
      </c>
      <c r="S248" s="32" t="str">
        <f>IF(AND(L248&gt;=INDEX(Succès!$D$10:$D$13,MATCH(A248,Succès!$A$10:$A$13,0)),P248&gt;=INDEX(Succès!$E$10:$E$13,MATCH(A248,Succès!$A$10:$A$13,0))),"Succès complet",IF(P248&gt;=INDEX(Succès!$E$10:$E$13,MATCH(A248,Succès!$A$10:$A$13,0)),"Engagé, portée modeste",IF(L248&gt;=INDEX(Succès!$D$10:$D$13,MATCH(A248,Succès!$A$10:$A$13,0)),"Portée sans engagement","Standard")))</f>
        <v>Standard</v>
      </c>
      <c r="T248" s="32">
        <f t="shared" si="15"/>
        <v>0</v>
      </c>
    </row>
    <row r="249" spans="1:20">
      <c r="A249" s="32" t="s">
        <v>46</v>
      </c>
      <c r="B249" s="32" t="s">
        <v>745</v>
      </c>
      <c r="C249" s="32" t="s">
        <v>697</v>
      </c>
      <c r="D249" s="32" t="s">
        <v>698</v>
      </c>
      <c r="E249" s="32" t="s">
        <v>93</v>
      </c>
      <c r="F249" s="32" t="s">
        <v>505</v>
      </c>
      <c r="G249" s="33"/>
      <c r="H249" s="32">
        <v>15</v>
      </c>
      <c r="I249" s="32">
        <v>1</v>
      </c>
      <c r="J249" s="32">
        <v>126</v>
      </c>
      <c r="K249" s="32">
        <v>0</v>
      </c>
      <c r="L249" s="33">
        <v>8300000</v>
      </c>
      <c r="M249" s="33">
        <v>286900</v>
      </c>
      <c r="N249" s="33">
        <v>0</v>
      </c>
      <c r="O249" s="33">
        <v>4163</v>
      </c>
      <c r="P249" s="34">
        <f t="shared" si="12"/>
        <v>3.5067831325301203E-2</v>
      </c>
      <c r="Q249" s="34">
        <f t="shared" si="13"/>
        <v>3.4566265060240964E-2</v>
      </c>
      <c r="R249" s="35" t="str">
        <f t="shared" si="14"/>
        <v/>
      </c>
      <c r="S249" s="32" t="str">
        <f>IF(AND(L249&gt;=INDEX(Succès!$D$10:$D$13,MATCH(A249,Succès!$A$10:$A$13,0)),P249&gt;=INDEX(Succès!$E$10:$E$13,MATCH(A249,Succès!$A$10:$A$13,0))),"Succès complet",IF(P249&gt;=INDEX(Succès!$E$10:$E$13,MATCH(A249,Succès!$A$10:$A$13,0)),"Engagé, portée modeste",IF(L249&gt;=INDEX(Succès!$D$10:$D$13,MATCH(A249,Succès!$A$10:$A$13,0)),"Portée sans engagement","Standard")))</f>
        <v>Portée sans engagement</v>
      </c>
      <c r="T249" s="32">
        <f t="shared" si="15"/>
        <v>0</v>
      </c>
    </row>
    <row r="250" spans="1:20">
      <c r="A250" s="32" t="s">
        <v>46</v>
      </c>
      <c r="B250" s="32" t="s">
        <v>746</v>
      </c>
      <c r="C250" s="32" t="s">
        <v>697</v>
      </c>
      <c r="D250" s="32" t="s">
        <v>698</v>
      </c>
      <c r="E250" s="32" t="s">
        <v>93</v>
      </c>
      <c r="F250" s="32" t="s">
        <v>505</v>
      </c>
      <c r="G250" s="33"/>
      <c r="H250" s="32">
        <v>30</v>
      </c>
      <c r="I250" s="32">
        <v>2</v>
      </c>
      <c r="J250" s="32">
        <v>84</v>
      </c>
      <c r="K250" s="32">
        <v>0</v>
      </c>
      <c r="L250" s="33">
        <v>1200000</v>
      </c>
      <c r="M250" s="33">
        <v>96700</v>
      </c>
      <c r="N250" s="33">
        <v>21200</v>
      </c>
      <c r="O250" s="33">
        <v>1031</v>
      </c>
      <c r="P250" s="34">
        <f t="shared" si="12"/>
        <v>9.9109166666666665E-2</v>
      </c>
      <c r="Q250" s="34">
        <f t="shared" si="13"/>
        <v>8.058333333333334E-2</v>
      </c>
      <c r="R250" s="35" t="str">
        <f t="shared" si="14"/>
        <v/>
      </c>
      <c r="S250" s="32" t="str">
        <f>IF(AND(L250&gt;=INDEX(Succès!$D$10:$D$13,MATCH(A250,Succès!$A$10:$A$13,0)),P250&gt;=INDEX(Succès!$E$10:$E$13,MATCH(A250,Succès!$A$10:$A$13,0))),"Succès complet",IF(P250&gt;=INDEX(Succès!$E$10:$E$13,MATCH(A250,Succès!$A$10:$A$13,0)),"Engagé, portée modeste",IF(L250&gt;=INDEX(Succès!$D$10:$D$13,MATCH(A250,Succès!$A$10:$A$13,0)),"Portée sans engagement","Standard")))</f>
        <v>Engagé, portée modeste</v>
      </c>
      <c r="T250" s="32">
        <f t="shared" si="15"/>
        <v>0</v>
      </c>
    </row>
    <row r="251" spans="1:20">
      <c r="A251" s="32" t="s">
        <v>46</v>
      </c>
      <c r="B251" s="32" t="s">
        <v>747</v>
      </c>
      <c r="C251" s="32" t="s">
        <v>697</v>
      </c>
      <c r="D251" s="32" t="s">
        <v>698</v>
      </c>
      <c r="E251" s="32" t="s">
        <v>93</v>
      </c>
      <c r="F251" s="32" t="s">
        <v>505</v>
      </c>
      <c r="G251" s="33"/>
      <c r="H251" s="32">
        <v>21</v>
      </c>
      <c r="I251" s="32">
        <v>1</v>
      </c>
      <c r="J251" s="32">
        <v>126</v>
      </c>
      <c r="K251" s="32">
        <v>0</v>
      </c>
      <c r="L251" s="33">
        <v>1900000</v>
      </c>
      <c r="M251" s="33">
        <v>77600</v>
      </c>
      <c r="N251" s="33">
        <v>11700</v>
      </c>
      <c r="O251" s="33">
        <v>871</v>
      </c>
      <c r="P251" s="34">
        <f t="shared" si="12"/>
        <v>4.745842105263158E-2</v>
      </c>
      <c r="Q251" s="34">
        <f t="shared" si="13"/>
        <v>4.0842105263157895E-2</v>
      </c>
      <c r="R251" s="35" t="str">
        <f t="shared" si="14"/>
        <v/>
      </c>
      <c r="S251" s="32" t="str">
        <f>IF(AND(L251&gt;=INDEX(Succès!$D$10:$D$13,MATCH(A251,Succès!$A$10:$A$13,0)),P251&gt;=INDEX(Succès!$E$10:$E$13,MATCH(A251,Succès!$A$10:$A$13,0))),"Succès complet",IF(P251&gt;=INDEX(Succès!$E$10:$E$13,MATCH(A251,Succès!$A$10:$A$13,0)),"Engagé, portée modeste",IF(L251&gt;=INDEX(Succès!$D$10:$D$13,MATCH(A251,Succès!$A$10:$A$13,0)),"Portée sans engagement","Standard")))</f>
        <v>Standard</v>
      </c>
      <c r="T251" s="32">
        <f t="shared" si="15"/>
        <v>0</v>
      </c>
    </row>
    <row r="252" spans="1:20">
      <c r="A252" s="32" t="s">
        <v>46</v>
      </c>
      <c r="B252" s="32" t="s">
        <v>748</v>
      </c>
      <c r="C252" s="32" t="s">
        <v>697</v>
      </c>
      <c r="D252" s="32" t="s">
        <v>698</v>
      </c>
      <c r="E252" s="32" t="s">
        <v>93</v>
      </c>
      <c r="F252" s="32" t="s">
        <v>505</v>
      </c>
      <c r="G252" s="33"/>
      <c r="H252" s="32">
        <v>12</v>
      </c>
      <c r="I252" s="32">
        <v>2</v>
      </c>
      <c r="J252" s="32">
        <v>118</v>
      </c>
      <c r="K252" s="32">
        <v>0</v>
      </c>
      <c r="L252" s="33">
        <v>3200000</v>
      </c>
      <c r="M252" s="33">
        <v>115800</v>
      </c>
      <c r="N252" s="33">
        <v>8174</v>
      </c>
      <c r="O252" s="33">
        <v>1241</v>
      </c>
      <c r="P252" s="34">
        <f t="shared" si="12"/>
        <v>3.9129687500000003E-2</v>
      </c>
      <c r="Q252" s="34">
        <f t="shared" si="13"/>
        <v>3.6187499999999997E-2</v>
      </c>
      <c r="R252" s="35" t="str">
        <f t="shared" si="14"/>
        <v/>
      </c>
      <c r="S252" s="32" t="str">
        <f>IF(AND(L252&gt;=INDEX(Succès!$D$10:$D$13,MATCH(A252,Succès!$A$10:$A$13,0)),P252&gt;=INDEX(Succès!$E$10:$E$13,MATCH(A252,Succès!$A$10:$A$13,0))),"Succès complet",IF(P252&gt;=INDEX(Succès!$E$10:$E$13,MATCH(A252,Succès!$A$10:$A$13,0)),"Engagé, portée modeste",IF(L252&gt;=INDEX(Succès!$D$10:$D$13,MATCH(A252,Succès!$A$10:$A$13,0)),"Portée sans engagement","Standard")))</f>
        <v>Standard</v>
      </c>
      <c r="T252" s="32">
        <f t="shared" si="15"/>
        <v>0</v>
      </c>
    </row>
    <row r="253" spans="1:20">
      <c r="A253" s="32" t="s">
        <v>46</v>
      </c>
      <c r="B253" s="32" t="s">
        <v>749</v>
      </c>
      <c r="C253" s="32" t="s">
        <v>697</v>
      </c>
      <c r="D253" s="32" t="s">
        <v>698</v>
      </c>
      <c r="E253" s="32" t="s">
        <v>93</v>
      </c>
      <c r="F253" s="32" t="s">
        <v>505</v>
      </c>
      <c r="G253" s="33"/>
      <c r="H253" s="32">
        <v>15</v>
      </c>
      <c r="I253" s="32">
        <v>2</v>
      </c>
      <c r="J253" s="32">
        <v>129</v>
      </c>
      <c r="K253" s="32">
        <v>0</v>
      </c>
      <c r="L253" s="33">
        <v>2400000</v>
      </c>
      <c r="M253" s="33">
        <v>158800</v>
      </c>
      <c r="N253" s="33">
        <v>16600</v>
      </c>
      <c r="O253" s="33">
        <v>1240</v>
      </c>
      <c r="P253" s="34">
        <f t="shared" si="12"/>
        <v>7.3599999999999999E-2</v>
      </c>
      <c r="Q253" s="34">
        <f t="shared" si="13"/>
        <v>6.6166666666666665E-2</v>
      </c>
      <c r="R253" s="35" t="str">
        <f t="shared" si="14"/>
        <v/>
      </c>
      <c r="S253" s="32" t="str">
        <f>IF(AND(L253&gt;=INDEX(Succès!$D$10:$D$13,MATCH(A253,Succès!$A$10:$A$13,0)),P253&gt;=INDEX(Succès!$E$10:$E$13,MATCH(A253,Succès!$A$10:$A$13,0))),"Succès complet",IF(P253&gt;=INDEX(Succès!$E$10:$E$13,MATCH(A253,Succès!$A$10:$A$13,0)),"Engagé, portée modeste",IF(L253&gt;=INDEX(Succès!$D$10:$D$13,MATCH(A253,Succès!$A$10:$A$13,0)),"Portée sans engagement","Standard")))</f>
        <v>Engagé, portée modeste</v>
      </c>
      <c r="T253" s="32">
        <f t="shared" si="15"/>
        <v>0</v>
      </c>
    </row>
    <row r="254" spans="1:20">
      <c r="A254" s="32" t="s">
        <v>46</v>
      </c>
      <c r="B254" s="32" t="s">
        <v>750</v>
      </c>
      <c r="C254" s="32" t="s">
        <v>697</v>
      </c>
      <c r="D254" s="32" t="s">
        <v>698</v>
      </c>
      <c r="E254" s="32" t="s">
        <v>93</v>
      </c>
      <c r="F254" s="32" t="s">
        <v>505</v>
      </c>
      <c r="G254" s="33"/>
      <c r="H254" s="32">
        <v>29</v>
      </c>
      <c r="I254" s="32">
        <v>1</v>
      </c>
      <c r="J254" s="32">
        <v>77</v>
      </c>
      <c r="K254" s="32">
        <v>0</v>
      </c>
      <c r="L254" s="33">
        <v>2500000</v>
      </c>
      <c r="M254" s="33">
        <v>230300</v>
      </c>
      <c r="N254" s="33">
        <v>11900</v>
      </c>
      <c r="O254" s="33">
        <v>1423</v>
      </c>
      <c r="P254" s="34">
        <f t="shared" si="12"/>
        <v>9.74492E-2</v>
      </c>
      <c r="Q254" s="34">
        <f t="shared" si="13"/>
        <v>9.2119999999999994E-2</v>
      </c>
      <c r="R254" s="35" t="str">
        <f t="shared" si="14"/>
        <v/>
      </c>
      <c r="S254" s="32" t="str">
        <f>IF(AND(L254&gt;=INDEX(Succès!$D$10:$D$13,MATCH(A254,Succès!$A$10:$A$13,0)),P254&gt;=INDEX(Succès!$E$10:$E$13,MATCH(A254,Succès!$A$10:$A$13,0))),"Succès complet",IF(P254&gt;=INDEX(Succès!$E$10:$E$13,MATCH(A254,Succès!$A$10:$A$13,0)),"Engagé, portée modeste",IF(L254&gt;=INDEX(Succès!$D$10:$D$13,MATCH(A254,Succès!$A$10:$A$13,0)),"Portée sans engagement","Standard")))</f>
        <v>Engagé, portée modeste</v>
      </c>
      <c r="T254" s="32">
        <f t="shared" si="15"/>
        <v>0</v>
      </c>
    </row>
    <row r="255" spans="1:20">
      <c r="A255" s="32" t="s">
        <v>46</v>
      </c>
      <c r="B255" s="32" t="s">
        <v>751</v>
      </c>
      <c r="C255" s="32" t="s">
        <v>697</v>
      </c>
      <c r="D255" s="32" t="s">
        <v>698</v>
      </c>
      <c r="E255" s="32" t="s">
        <v>93</v>
      </c>
      <c r="F255" s="32" t="s">
        <v>505</v>
      </c>
      <c r="G255" s="33"/>
      <c r="H255" s="32">
        <v>15</v>
      </c>
      <c r="I255" s="32">
        <v>1</v>
      </c>
      <c r="J255" s="32">
        <v>112</v>
      </c>
      <c r="K255" s="32">
        <v>0</v>
      </c>
      <c r="L255" s="33">
        <v>2400000</v>
      </c>
      <c r="M255" s="33">
        <v>152000</v>
      </c>
      <c r="N255" s="33">
        <v>15600</v>
      </c>
      <c r="O255" s="33">
        <v>1895</v>
      </c>
      <c r="P255" s="34">
        <f t="shared" si="12"/>
        <v>7.062291666666666E-2</v>
      </c>
      <c r="Q255" s="34">
        <f t="shared" si="13"/>
        <v>6.3333333333333339E-2</v>
      </c>
      <c r="R255" s="35" t="str">
        <f t="shared" si="14"/>
        <v/>
      </c>
      <c r="S255" s="32" t="str">
        <f>IF(AND(L255&gt;=INDEX(Succès!$D$10:$D$13,MATCH(A255,Succès!$A$10:$A$13,0)),P255&gt;=INDEX(Succès!$E$10:$E$13,MATCH(A255,Succès!$A$10:$A$13,0))),"Succès complet",IF(P255&gt;=INDEX(Succès!$E$10:$E$13,MATCH(A255,Succès!$A$10:$A$13,0)),"Engagé, portée modeste",IF(L255&gt;=INDEX(Succès!$D$10:$D$13,MATCH(A255,Succès!$A$10:$A$13,0)),"Portée sans engagement","Standard")))</f>
        <v>Engagé, portée modeste</v>
      </c>
      <c r="T255" s="32">
        <f t="shared" si="15"/>
        <v>0</v>
      </c>
    </row>
    <row r="256" spans="1:20">
      <c r="A256" s="32" t="s">
        <v>46</v>
      </c>
      <c r="B256" s="32" t="s">
        <v>752</v>
      </c>
      <c r="C256" s="32" t="s">
        <v>697</v>
      </c>
      <c r="D256" s="32" t="s">
        <v>698</v>
      </c>
      <c r="E256" s="32" t="s">
        <v>93</v>
      </c>
      <c r="F256" s="32" t="s">
        <v>505</v>
      </c>
      <c r="G256" s="33"/>
      <c r="H256" s="32">
        <v>59</v>
      </c>
      <c r="I256" s="32">
        <v>2</v>
      </c>
      <c r="J256" s="32">
        <v>88</v>
      </c>
      <c r="K256" s="32">
        <v>0</v>
      </c>
      <c r="L256" s="33">
        <v>4200000</v>
      </c>
      <c r="M256" s="33">
        <v>268800</v>
      </c>
      <c r="N256" s="33">
        <v>47400</v>
      </c>
      <c r="O256" s="33">
        <v>3819</v>
      </c>
      <c r="P256" s="34">
        <f t="shared" si="12"/>
        <v>7.6194999999999999E-2</v>
      </c>
      <c r="Q256" s="34">
        <f t="shared" si="13"/>
        <v>6.4000000000000001E-2</v>
      </c>
      <c r="R256" s="35" t="str">
        <f t="shared" si="14"/>
        <v/>
      </c>
      <c r="S256" s="32" t="str">
        <f>IF(AND(L256&gt;=INDEX(Succès!$D$10:$D$13,MATCH(A256,Succès!$A$10:$A$13,0)),P256&gt;=INDEX(Succès!$E$10:$E$13,MATCH(A256,Succès!$A$10:$A$13,0))),"Succès complet",IF(P256&gt;=INDEX(Succès!$E$10:$E$13,MATCH(A256,Succès!$A$10:$A$13,0)),"Engagé, portée modeste",IF(L256&gt;=INDEX(Succès!$D$10:$D$13,MATCH(A256,Succès!$A$10:$A$13,0)),"Portée sans engagement","Standard")))</f>
        <v>Succès complet</v>
      </c>
      <c r="T256" s="32">
        <f t="shared" si="15"/>
        <v>1</v>
      </c>
    </row>
    <row r="257" spans="1:20">
      <c r="A257" s="32" t="s">
        <v>46</v>
      </c>
      <c r="B257" s="32" t="s">
        <v>753</v>
      </c>
      <c r="C257" s="32" t="s">
        <v>697</v>
      </c>
      <c r="D257" s="32" t="s">
        <v>698</v>
      </c>
      <c r="E257" s="32" t="s">
        <v>93</v>
      </c>
      <c r="F257" s="32" t="s">
        <v>505</v>
      </c>
      <c r="G257" s="33"/>
      <c r="H257" s="32">
        <v>26</v>
      </c>
      <c r="I257" s="32">
        <v>0</v>
      </c>
      <c r="J257" s="32">
        <v>108</v>
      </c>
      <c r="K257" s="32">
        <v>0</v>
      </c>
      <c r="L257" s="33">
        <v>118000000</v>
      </c>
      <c r="M257" s="33">
        <v>1600000</v>
      </c>
      <c r="N257" s="33">
        <v>44300</v>
      </c>
      <c r="O257" s="33">
        <v>11300</v>
      </c>
      <c r="P257" s="34">
        <f t="shared" si="12"/>
        <v>1.4030508474576271E-2</v>
      </c>
      <c r="Q257" s="34">
        <f t="shared" si="13"/>
        <v>1.3559322033898305E-2</v>
      </c>
      <c r="R257" s="35" t="str">
        <f t="shared" si="14"/>
        <v/>
      </c>
      <c r="S257" s="32" t="str">
        <f>IF(AND(L257&gt;=INDEX(Succès!$D$10:$D$13,MATCH(A257,Succès!$A$10:$A$13,0)),P257&gt;=INDEX(Succès!$E$10:$E$13,MATCH(A257,Succès!$A$10:$A$13,0))),"Succès complet",IF(P257&gt;=INDEX(Succès!$E$10:$E$13,MATCH(A257,Succès!$A$10:$A$13,0)),"Engagé, portée modeste",IF(L257&gt;=INDEX(Succès!$D$10:$D$13,MATCH(A257,Succès!$A$10:$A$13,0)),"Portée sans engagement","Standard")))</f>
        <v>Portée sans engagement</v>
      </c>
      <c r="T257" s="32">
        <f t="shared" si="15"/>
        <v>0</v>
      </c>
    </row>
    <row r="258" spans="1:20">
      <c r="A258" s="32" t="s">
        <v>46</v>
      </c>
      <c r="B258" s="32" t="s">
        <v>754</v>
      </c>
      <c r="C258" s="32" t="s">
        <v>697</v>
      </c>
      <c r="D258" s="32" t="s">
        <v>698</v>
      </c>
      <c r="E258" s="32" t="s">
        <v>93</v>
      </c>
      <c r="F258" s="32" t="s">
        <v>505</v>
      </c>
      <c r="G258" s="33"/>
      <c r="H258" s="32">
        <v>15</v>
      </c>
      <c r="I258" s="32">
        <v>2</v>
      </c>
      <c r="J258" s="32">
        <v>92</v>
      </c>
      <c r="K258" s="32">
        <v>0</v>
      </c>
      <c r="L258" s="33">
        <v>7700000</v>
      </c>
      <c r="M258" s="33">
        <v>459300</v>
      </c>
      <c r="N258" s="33">
        <v>15900</v>
      </c>
      <c r="O258" s="33">
        <v>1796</v>
      </c>
      <c r="P258" s="34">
        <f t="shared" ref="P258:P321" si="16">(M258+N258+O258)/L258</f>
        <v>6.1947532467532471E-2</v>
      </c>
      <c r="Q258" s="34">
        <f t="shared" ref="Q258:Q321" si="17">M258/L258</f>
        <v>5.9649350649350646E-2</v>
      </c>
      <c r="R258" s="35" t="str">
        <f t="shared" ref="R258:R321" si="18">IF(G258="","",L258/G258)</f>
        <v/>
      </c>
      <c r="S258" s="32" t="str">
        <f>IF(AND(L258&gt;=INDEX(Succès!$D$10:$D$13,MATCH(A258,Succès!$A$10:$A$13,0)),P258&gt;=INDEX(Succès!$E$10:$E$13,MATCH(A258,Succès!$A$10:$A$13,0))),"Succès complet",IF(P258&gt;=INDEX(Succès!$E$10:$E$13,MATCH(A258,Succès!$A$10:$A$13,0)),"Engagé, portée modeste",IF(L258&gt;=INDEX(Succès!$D$10:$D$13,MATCH(A258,Succès!$A$10:$A$13,0)),"Portée sans engagement","Standard")))</f>
        <v>Portée sans engagement</v>
      </c>
      <c r="T258" s="32">
        <f t="shared" ref="T258:T321" si="19">IF(S258="Succès complet",1,0)</f>
        <v>0</v>
      </c>
    </row>
    <row r="259" spans="1:20">
      <c r="A259" s="32" t="s">
        <v>46</v>
      </c>
      <c r="B259" s="32" t="s">
        <v>755</v>
      </c>
      <c r="C259" s="32" t="s">
        <v>697</v>
      </c>
      <c r="D259" s="32" t="s">
        <v>698</v>
      </c>
      <c r="E259" s="32" t="s">
        <v>93</v>
      </c>
      <c r="F259" s="32" t="s">
        <v>505</v>
      </c>
      <c r="G259" s="33"/>
      <c r="H259" s="32">
        <v>20</v>
      </c>
      <c r="I259" s="32">
        <v>1</v>
      </c>
      <c r="J259" s="32">
        <v>82</v>
      </c>
      <c r="K259" s="32">
        <v>0</v>
      </c>
      <c r="L259" s="33">
        <v>32500000</v>
      </c>
      <c r="M259" s="33">
        <v>529600</v>
      </c>
      <c r="N259" s="33">
        <v>18500</v>
      </c>
      <c r="O259" s="33">
        <v>9285</v>
      </c>
      <c r="P259" s="34">
        <f t="shared" si="16"/>
        <v>1.7150307692307694E-2</v>
      </c>
      <c r="Q259" s="34">
        <f t="shared" si="17"/>
        <v>1.6295384615384614E-2</v>
      </c>
      <c r="R259" s="35" t="str">
        <f t="shared" si="18"/>
        <v/>
      </c>
      <c r="S259" s="32" t="str">
        <f>IF(AND(L259&gt;=INDEX(Succès!$D$10:$D$13,MATCH(A259,Succès!$A$10:$A$13,0)),P259&gt;=INDEX(Succès!$E$10:$E$13,MATCH(A259,Succès!$A$10:$A$13,0))),"Succès complet",IF(P259&gt;=INDEX(Succès!$E$10:$E$13,MATCH(A259,Succès!$A$10:$A$13,0)),"Engagé, portée modeste",IF(L259&gt;=INDEX(Succès!$D$10:$D$13,MATCH(A259,Succès!$A$10:$A$13,0)),"Portée sans engagement","Standard")))</f>
        <v>Portée sans engagement</v>
      </c>
      <c r="T259" s="32">
        <f t="shared" si="19"/>
        <v>0</v>
      </c>
    </row>
    <row r="260" spans="1:20">
      <c r="A260" s="32" t="s">
        <v>46</v>
      </c>
      <c r="B260" s="32" t="s">
        <v>756</v>
      </c>
      <c r="C260" s="32" t="s">
        <v>697</v>
      </c>
      <c r="D260" s="32" t="s">
        <v>698</v>
      </c>
      <c r="E260" s="32" t="s">
        <v>93</v>
      </c>
      <c r="F260" s="32" t="s">
        <v>505</v>
      </c>
      <c r="G260" s="33"/>
      <c r="H260" s="32">
        <v>44</v>
      </c>
      <c r="I260" s="32">
        <v>1</v>
      </c>
      <c r="J260" s="32">
        <v>94</v>
      </c>
      <c r="K260" s="32">
        <v>0</v>
      </c>
      <c r="L260" s="33">
        <v>129100000</v>
      </c>
      <c r="M260" s="33">
        <v>522500</v>
      </c>
      <c r="N260" s="33">
        <v>20800</v>
      </c>
      <c r="O260" s="33">
        <v>3674</v>
      </c>
      <c r="P260" s="34">
        <f t="shared" si="16"/>
        <v>4.2368241673121608E-3</v>
      </c>
      <c r="Q260" s="34">
        <f t="shared" si="17"/>
        <v>4.0472501936483348E-3</v>
      </c>
      <c r="R260" s="35" t="str">
        <f t="shared" si="18"/>
        <v/>
      </c>
      <c r="S260" s="32" t="str">
        <f>IF(AND(L260&gt;=INDEX(Succès!$D$10:$D$13,MATCH(A260,Succès!$A$10:$A$13,0)),P260&gt;=INDEX(Succès!$E$10:$E$13,MATCH(A260,Succès!$A$10:$A$13,0))),"Succès complet",IF(P260&gt;=INDEX(Succès!$E$10:$E$13,MATCH(A260,Succès!$A$10:$A$13,0)),"Engagé, portée modeste",IF(L260&gt;=INDEX(Succès!$D$10:$D$13,MATCH(A260,Succès!$A$10:$A$13,0)),"Portée sans engagement","Standard")))</f>
        <v>Portée sans engagement</v>
      </c>
      <c r="T260" s="32">
        <f t="shared" si="19"/>
        <v>0</v>
      </c>
    </row>
    <row r="261" spans="1:20">
      <c r="A261" s="32" t="s">
        <v>46</v>
      </c>
      <c r="B261" s="32" t="s">
        <v>757</v>
      </c>
      <c r="C261" s="32" t="s">
        <v>697</v>
      </c>
      <c r="D261" s="32" t="s">
        <v>698</v>
      </c>
      <c r="E261" s="32" t="s">
        <v>93</v>
      </c>
      <c r="F261" s="32" t="s">
        <v>505</v>
      </c>
      <c r="G261" s="33"/>
      <c r="H261" s="32">
        <v>15</v>
      </c>
      <c r="I261" s="32">
        <v>1</v>
      </c>
      <c r="J261" s="32">
        <v>140</v>
      </c>
      <c r="K261" s="32">
        <v>0</v>
      </c>
      <c r="L261" s="33">
        <v>4600000</v>
      </c>
      <c r="M261" s="33">
        <v>344300</v>
      </c>
      <c r="N261" s="33">
        <v>70800</v>
      </c>
      <c r="O261" s="33">
        <v>6166</v>
      </c>
      <c r="P261" s="34">
        <f t="shared" si="16"/>
        <v>9.1579565217391301E-2</v>
      </c>
      <c r="Q261" s="34">
        <f t="shared" si="17"/>
        <v>7.4847826086956518E-2</v>
      </c>
      <c r="R261" s="35" t="str">
        <f t="shared" si="18"/>
        <v/>
      </c>
      <c r="S261" s="32" t="str">
        <f>IF(AND(L261&gt;=INDEX(Succès!$D$10:$D$13,MATCH(A261,Succès!$A$10:$A$13,0)),P261&gt;=INDEX(Succès!$E$10:$E$13,MATCH(A261,Succès!$A$10:$A$13,0))),"Succès complet",IF(P261&gt;=INDEX(Succès!$E$10:$E$13,MATCH(A261,Succès!$A$10:$A$13,0)),"Engagé, portée modeste",IF(L261&gt;=INDEX(Succès!$D$10:$D$13,MATCH(A261,Succès!$A$10:$A$13,0)),"Portée sans engagement","Standard")))</f>
        <v>Succès complet</v>
      </c>
      <c r="T261" s="32">
        <f t="shared" si="19"/>
        <v>1</v>
      </c>
    </row>
    <row r="262" spans="1:20">
      <c r="A262" s="32" t="s">
        <v>46</v>
      </c>
      <c r="B262" s="32" t="s">
        <v>758</v>
      </c>
      <c r="C262" s="32" t="s">
        <v>697</v>
      </c>
      <c r="D262" s="32" t="s">
        <v>698</v>
      </c>
      <c r="E262" s="32" t="s">
        <v>93</v>
      </c>
      <c r="F262" s="32" t="s">
        <v>505</v>
      </c>
      <c r="G262" s="33"/>
      <c r="H262" s="32">
        <v>15</v>
      </c>
      <c r="I262" s="32">
        <v>0</v>
      </c>
      <c r="J262" s="32">
        <v>61</v>
      </c>
      <c r="K262" s="32">
        <v>0</v>
      </c>
      <c r="L262" s="33">
        <v>49800000</v>
      </c>
      <c r="M262" s="33">
        <v>1700000</v>
      </c>
      <c r="N262" s="33">
        <v>38800</v>
      </c>
      <c r="O262" s="33">
        <v>17700</v>
      </c>
      <c r="P262" s="34">
        <f t="shared" si="16"/>
        <v>3.52710843373494E-2</v>
      </c>
      <c r="Q262" s="34">
        <f t="shared" si="17"/>
        <v>3.4136546184738957E-2</v>
      </c>
      <c r="R262" s="35" t="str">
        <f t="shared" si="18"/>
        <v/>
      </c>
      <c r="S262" s="32" t="str">
        <f>IF(AND(L262&gt;=INDEX(Succès!$D$10:$D$13,MATCH(A262,Succès!$A$10:$A$13,0)),P262&gt;=INDEX(Succès!$E$10:$E$13,MATCH(A262,Succès!$A$10:$A$13,0))),"Succès complet",IF(P262&gt;=INDEX(Succès!$E$10:$E$13,MATCH(A262,Succès!$A$10:$A$13,0)),"Engagé, portée modeste",IF(L262&gt;=INDEX(Succès!$D$10:$D$13,MATCH(A262,Succès!$A$10:$A$13,0)),"Portée sans engagement","Standard")))</f>
        <v>Portée sans engagement</v>
      </c>
      <c r="T262" s="32">
        <f t="shared" si="19"/>
        <v>0</v>
      </c>
    </row>
    <row r="263" spans="1:20">
      <c r="A263" s="32" t="s">
        <v>46</v>
      </c>
      <c r="B263" s="32" t="s">
        <v>759</v>
      </c>
      <c r="C263" s="32" t="s">
        <v>697</v>
      </c>
      <c r="D263" s="32" t="s">
        <v>698</v>
      </c>
      <c r="E263" s="32" t="s">
        <v>93</v>
      </c>
      <c r="F263" s="32" t="s">
        <v>505</v>
      </c>
      <c r="G263" s="33"/>
      <c r="H263" s="32">
        <v>15</v>
      </c>
      <c r="I263" s="32">
        <v>1</v>
      </c>
      <c r="J263" s="32">
        <v>120</v>
      </c>
      <c r="K263" s="32">
        <v>0</v>
      </c>
      <c r="L263" s="33">
        <v>111500000</v>
      </c>
      <c r="M263" s="33">
        <v>585000</v>
      </c>
      <c r="N263" s="33">
        <v>19200</v>
      </c>
      <c r="O263" s="33">
        <v>6649</v>
      </c>
      <c r="P263" s="34">
        <f t="shared" si="16"/>
        <v>5.4784663677130046E-3</v>
      </c>
      <c r="Q263" s="34">
        <f t="shared" si="17"/>
        <v>5.2466367713004487E-3</v>
      </c>
      <c r="R263" s="35" t="str">
        <f t="shared" si="18"/>
        <v/>
      </c>
      <c r="S263" s="32" t="str">
        <f>IF(AND(L263&gt;=INDEX(Succès!$D$10:$D$13,MATCH(A263,Succès!$A$10:$A$13,0)),P263&gt;=INDEX(Succès!$E$10:$E$13,MATCH(A263,Succès!$A$10:$A$13,0))),"Succès complet",IF(P263&gt;=INDEX(Succès!$E$10:$E$13,MATCH(A263,Succès!$A$10:$A$13,0)),"Engagé, portée modeste",IF(L263&gt;=INDEX(Succès!$D$10:$D$13,MATCH(A263,Succès!$A$10:$A$13,0)),"Portée sans engagement","Standard")))</f>
        <v>Portée sans engagement</v>
      </c>
      <c r="T263" s="32">
        <f t="shared" si="19"/>
        <v>0</v>
      </c>
    </row>
    <row r="264" spans="1:20">
      <c r="A264" s="32" t="s">
        <v>46</v>
      </c>
      <c r="B264" s="32" t="s">
        <v>760</v>
      </c>
      <c r="C264" s="32" t="s">
        <v>697</v>
      </c>
      <c r="D264" s="32" t="s">
        <v>698</v>
      </c>
      <c r="E264" s="32" t="s">
        <v>93</v>
      </c>
      <c r="F264" s="32" t="s">
        <v>505</v>
      </c>
      <c r="G264" s="33"/>
      <c r="H264" s="32">
        <v>44</v>
      </c>
      <c r="I264" s="32">
        <v>1</v>
      </c>
      <c r="J264" s="32">
        <v>76</v>
      </c>
      <c r="K264" s="32">
        <v>0</v>
      </c>
      <c r="L264" s="33">
        <v>7100000</v>
      </c>
      <c r="M264" s="33">
        <v>492700</v>
      </c>
      <c r="N264" s="33">
        <v>20900</v>
      </c>
      <c r="O264" s="33">
        <v>10700</v>
      </c>
      <c r="P264" s="34">
        <f t="shared" si="16"/>
        <v>7.3845070422535214E-2</v>
      </c>
      <c r="Q264" s="34">
        <f t="shared" si="17"/>
        <v>6.9394366197183102E-2</v>
      </c>
      <c r="R264" s="35" t="str">
        <f t="shared" si="18"/>
        <v/>
      </c>
      <c r="S264" s="32" t="str">
        <f>IF(AND(L264&gt;=INDEX(Succès!$D$10:$D$13,MATCH(A264,Succès!$A$10:$A$13,0)),P264&gt;=INDEX(Succès!$E$10:$E$13,MATCH(A264,Succès!$A$10:$A$13,0))),"Succès complet",IF(P264&gt;=INDEX(Succès!$E$10:$E$13,MATCH(A264,Succès!$A$10:$A$13,0)),"Engagé, portée modeste",IF(L264&gt;=INDEX(Succès!$D$10:$D$13,MATCH(A264,Succès!$A$10:$A$13,0)),"Portée sans engagement","Standard")))</f>
        <v>Succès complet</v>
      </c>
      <c r="T264" s="32">
        <f t="shared" si="19"/>
        <v>1</v>
      </c>
    </row>
    <row r="265" spans="1:20">
      <c r="A265" s="32" t="s">
        <v>46</v>
      </c>
      <c r="B265" s="32" t="s">
        <v>761</v>
      </c>
      <c r="C265" s="32" t="s">
        <v>697</v>
      </c>
      <c r="D265" s="32" t="s">
        <v>698</v>
      </c>
      <c r="E265" s="32" t="s">
        <v>93</v>
      </c>
      <c r="F265" s="32" t="s">
        <v>505</v>
      </c>
      <c r="G265" s="33"/>
      <c r="H265" s="32">
        <v>54</v>
      </c>
      <c r="I265" s="32">
        <v>1</v>
      </c>
      <c r="J265" s="32">
        <v>37</v>
      </c>
      <c r="K265" s="32">
        <v>0</v>
      </c>
      <c r="L265" s="33">
        <v>25500000</v>
      </c>
      <c r="M265" s="33">
        <v>3000000</v>
      </c>
      <c r="N265" s="33">
        <v>235400</v>
      </c>
      <c r="O265" s="33">
        <v>246400</v>
      </c>
      <c r="P265" s="34">
        <f t="shared" si="16"/>
        <v>0.13654117647058825</v>
      </c>
      <c r="Q265" s="34">
        <f t="shared" si="17"/>
        <v>0.11764705882352941</v>
      </c>
      <c r="R265" s="35" t="str">
        <f t="shared" si="18"/>
        <v/>
      </c>
      <c r="S265" s="32" t="str">
        <f>IF(AND(L265&gt;=INDEX(Succès!$D$10:$D$13,MATCH(A265,Succès!$A$10:$A$13,0)),P265&gt;=INDEX(Succès!$E$10:$E$13,MATCH(A265,Succès!$A$10:$A$13,0))),"Succès complet",IF(P265&gt;=INDEX(Succès!$E$10:$E$13,MATCH(A265,Succès!$A$10:$A$13,0)),"Engagé, portée modeste",IF(L265&gt;=INDEX(Succès!$D$10:$D$13,MATCH(A265,Succès!$A$10:$A$13,0)),"Portée sans engagement","Standard")))</f>
        <v>Succès complet</v>
      </c>
      <c r="T265" s="32">
        <f t="shared" si="19"/>
        <v>1</v>
      </c>
    </row>
    <row r="266" spans="1:20">
      <c r="A266" s="32" t="s">
        <v>46</v>
      </c>
      <c r="B266" s="32" t="s">
        <v>762</v>
      </c>
      <c r="C266" s="32" t="s">
        <v>697</v>
      </c>
      <c r="D266" s="32" t="s">
        <v>698</v>
      </c>
      <c r="E266" s="32" t="s">
        <v>93</v>
      </c>
      <c r="F266" s="32" t="s">
        <v>505</v>
      </c>
      <c r="G266" s="33"/>
      <c r="H266" s="32">
        <v>48</v>
      </c>
      <c r="I266" s="32">
        <v>0</v>
      </c>
      <c r="J266" s="32">
        <v>41</v>
      </c>
      <c r="K266" s="32">
        <v>0</v>
      </c>
      <c r="L266" s="33">
        <v>3800000</v>
      </c>
      <c r="M266" s="33">
        <v>330300</v>
      </c>
      <c r="N266" s="33">
        <v>30500</v>
      </c>
      <c r="O266" s="33">
        <v>5348</v>
      </c>
      <c r="P266" s="34">
        <f t="shared" si="16"/>
        <v>9.6354736842105257E-2</v>
      </c>
      <c r="Q266" s="34">
        <f t="shared" si="17"/>
        <v>8.6921052631578941E-2</v>
      </c>
      <c r="R266" s="35" t="str">
        <f t="shared" si="18"/>
        <v/>
      </c>
      <c r="S266" s="32" t="str">
        <f>IF(AND(L266&gt;=INDEX(Succès!$D$10:$D$13,MATCH(A266,Succès!$A$10:$A$13,0)),P266&gt;=INDEX(Succès!$E$10:$E$13,MATCH(A266,Succès!$A$10:$A$13,0))),"Succès complet",IF(P266&gt;=INDEX(Succès!$E$10:$E$13,MATCH(A266,Succès!$A$10:$A$13,0)),"Engagé, portée modeste",IF(L266&gt;=INDEX(Succès!$D$10:$D$13,MATCH(A266,Succès!$A$10:$A$13,0)),"Portée sans engagement","Standard")))</f>
        <v>Succès complet</v>
      </c>
      <c r="T266" s="32">
        <f t="shared" si="19"/>
        <v>1</v>
      </c>
    </row>
    <row r="267" spans="1:20">
      <c r="A267" s="32" t="s">
        <v>46</v>
      </c>
      <c r="B267" s="32" t="s">
        <v>763</v>
      </c>
      <c r="C267" s="32" t="s">
        <v>697</v>
      </c>
      <c r="D267" s="32" t="s">
        <v>698</v>
      </c>
      <c r="E267" s="32" t="s">
        <v>93</v>
      </c>
      <c r="F267" s="32" t="s">
        <v>505</v>
      </c>
      <c r="G267" s="33"/>
      <c r="H267" s="32">
        <v>43</v>
      </c>
      <c r="I267" s="32">
        <v>0</v>
      </c>
      <c r="J267" s="32">
        <v>74</v>
      </c>
      <c r="K267" s="32">
        <v>0</v>
      </c>
      <c r="L267" s="33">
        <v>7100000</v>
      </c>
      <c r="M267" s="33">
        <v>502100</v>
      </c>
      <c r="N267" s="33">
        <v>35600</v>
      </c>
      <c r="O267" s="33">
        <v>12900</v>
      </c>
      <c r="P267" s="34">
        <f t="shared" si="16"/>
        <v>7.7549295774647892E-2</v>
      </c>
      <c r="Q267" s="34">
        <f t="shared" si="17"/>
        <v>7.0718309859154935E-2</v>
      </c>
      <c r="R267" s="35" t="str">
        <f t="shared" si="18"/>
        <v/>
      </c>
      <c r="S267" s="32" t="str">
        <f>IF(AND(L267&gt;=INDEX(Succès!$D$10:$D$13,MATCH(A267,Succès!$A$10:$A$13,0)),P267&gt;=INDEX(Succès!$E$10:$E$13,MATCH(A267,Succès!$A$10:$A$13,0))),"Succès complet",IF(P267&gt;=INDEX(Succès!$E$10:$E$13,MATCH(A267,Succès!$A$10:$A$13,0)),"Engagé, portée modeste",IF(L267&gt;=INDEX(Succès!$D$10:$D$13,MATCH(A267,Succès!$A$10:$A$13,0)),"Portée sans engagement","Standard")))</f>
        <v>Succès complet</v>
      </c>
      <c r="T267" s="32">
        <f t="shared" si="19"/>
        <v>1</v>
      </c>
    </row>
    <row r="268" spans="1:20">
      <c r="A268" s="32" t="s">
        <v>46</v>
      </c>
      <c r="B268" s="32" t="s">
        <v>764</v>
      </c>
      <c r="C268" s="32" t="s">
        <v>697</v>
      </c>
      <c r="D268" s="32" t="s">
        <v>698</v>
      </c>
      <c r="E268" s="32" t="s">
        <v>93</v>
      </c>
      <c r="F268" s="32" t="s">
        <v>505</v>
      </c>
      <c r="G268" s="33"/>
      <c r="H268" s="32">
        <v>32</v>
      </c>
      <c r="I268" s="32">
        <v>0</v>
      </c>
      <c r="J268" s="32">
        <v>58</v>
      </c>
      <c r="K268" s="32">
        <v>0</v>
      </c>
      <c r="L268" s="33">
        <v>3300000</v>
      </c>
      <c r="M268" s="33">
        <v>265400</v>
      </c>
      <c r="N268" s="33">
        <v>22100</v>
      </c>
      <c r="O268" s="33">
        <v>6122</v>
      </c>
      <c r="P268" s="34">
        <f t="shared" si="16"/>
        <v>8.8976363636363631E-2</v>
      </c>
      <c r="Q268" s="34">
        <f t="shared" si="17"/>
        <v>8.0424242424242426E-2</v>
      </c>
      <c r="R268" s="35" t="str">
        <f t="shared" si="18"/>
        <v/>
      </c>
      <c r="S268" s="32" t="str">
        <f>IF(AND(L268&gt;=INDEX(Succès!$D$10:$D$13,MATCH(A268,Succès!$A$10:$A$13,0)),P268&gt;=INDEX(Succès!$E$10:$E$13,MATCH(A268,Succès!$A$10:$A$13,0))),"Succès complet",IF(P268&gt;=INDEX(Succès!$E$10:$E$13,MATCH(A268,Succès!$A$10:$A$13,0)),"Engagé, portée modeste",IF(L268&gt;=INDEX(Succès!$D$10:$D$13,MATCH(A268,Succès!$A$10:$A$13,0)),"Portée sans engagement","Standard")))</f>
        <v>Succès complet</v>
      </c>
      <c r="T268" s="32">
        <f t="shared" si="19"/>
        <v>1</v>
      </c>
    </row>
    <row r="269" spans="1:20">
      <c r="A269" s="32" t="s">
        <v>46</v>
      </c>
      <c r="B269" s="32" t="s">
        <v>765</v>
      </c>
      <c r="C269" s="32" t="s">
        <v>697</v>
      </c>
      <c r="D269" s="32" t="s">
        <v>698</v>
      </c>
      <c r="E269" s="32" t="s">
        <v>93</v>
      </c>
      <c r="F269" s="32" t="s">
        <v>505</v>
      </c>
      <c r="G269" s="33"/>
      <c r="H269" s="32">
        <v>59</v>
      </c>
      <c r="I269" s="32">
        <v>0</v>
      </c>
      <c r="J269" s="32">
        <v>34</v>
      </c>
      <c r="K269" s="32">
        <v>0</v>
      </c>
      <c r="L269" s="33">
        <v>56900000</v>
      </c>
      <c r="M269" s="33">
        <v>6100000</v>
      </c>
      <c r="N269" s="33">
        <v>325500</v>
      </c>
      <c r="O269" s="33">
        <v>455700</v>
      </c>
      <c r="P269" s="34">
        <f t="shared" si="16"/>
        <v>0.12093497363796134</v>
      </c>
      <c r="Q269" s="34">
        <f t="shared" si="17"/>
        <v>0.10720562390158173</v>
      </c>
      <c r="R269" s="35" t="str">
        <f t="shared" si="18"/>
        <v/>
      </c>
      <c r="S269" s="32" t="str">
        <f>IF(AND(L269&gt;=INDEX(Succès!$D$10:$D$13,MATCH(A269,Succès!$A$10:$A$13,0)),P269&gt;=INDEX(Succès!$E$10:$E$13,MATCH(A269,Succès!$A$10:$A$13,0))),"Succès complet",IF(P269&gt;=INDEX(Succès!$E$10:$E$13,MATCH(A269,Succès!$A$10:$A$13,0)),"Engagé, portée modeste",IF(L269&gt;=INDEX(Succès!$D$10:$D$13,MATCH(A269,Succès!$A$10:$A$13,0)),"Portée sans engagement","Standard")))</f>
        <v>Succès complet</v>
      </c>
      <c r="T269" s="32">
        <f t="shared" si="19"/>
        <v>1</v>
      </c>
    </row>
    <row r="270" spans="1:20">
      <c r="A270" s="32" t="s">
        <v>46</v>
      </c>
      <c r="B270" s="32" t="s">
        <v>766</v>
      </c>
      <c r="C270" s="32" t="s">
        <v>697</v>
      </c>
      <c r="D270" s="32" t="s">
        <v>698</v>
      </c>
      <c r="E270" s="32" t="s">
        <v>93</v>
      </c>
      <c r="F270" s="32" t="s">
        <v>505</v>
      </c>
      <c r="G270" s="33"/>
      <c r="H270" s="32">
        <v>14</v>
      </c>
      <c r="I270" s="32">
        <v>1</v>
      </c>
      <c r="J270" s="32">
        <v>106</v>
      </c>
      <c r="K270" s="32">
        <v>0</v>
      </c>
      <c r="L270" s="33">
        <v>106800000</v>
      </c>
      <c r="M270" s="33">
        <v>1900000</v>
      </c>
      <c r="N270" s="33">
        <v>31300</v>
      </c>
      <c r="O270" s="33">
        <v>33700</v>
      </c>
      <c r="P270" s="34">
        <f t="shared" si="16"/>
        <v>1.839887640449438E-2</v>
      </c>
      <c r="Q270" s="34">
        <f t="shared" si="17"/>
        <v>1.7790262172284643E-2</v>
      </c>
      <c r="R270" s="35" t="str">
        <f t="shared" si="18"/>
        <v/>
      </c>
      <c r="S270" s="32" t="str">
        <f>IF(AND(L270&gt;=INDEX(Succès!$D$10:$D$13,MATCH(A270,Succès!$A$10:$A$13,0)),P270&gt;=INDEX(Succès!$E$10:$E$13,MATCH(A270,Succès!$A$10:$A$13,0))),"Succès complet",IF(P270&gt;=INDEX(Succès!$E$10:$E$13,MATCH(A270,Succès!$A$10:$A$13,0)),"Engagé, portée modeste",IF(L270&gt;=INDEX(Succès!$D$10:$D$13,MATCH(A270,Succès!$A$10:$A$13,0)),"Portée sans engagement","Standard")))</f>
        <v>Portée sans engagement</v>
      </c>
      <c r="T270" s="32">
        <f t="shared" si="19"/>
        <v>0</v>
      </c>
    </row>
    <row r="271" spans="1:20">
      <c r="A271" s="32" t="s">
        <v>46</v>
      </c>
      <c r="B271" s="32" t="s">
        <v>767</v>
      </c>
      <c r="C271" s="32" t="s">
        <v>697</v>
      </c>
      <c r="D271" s="32" t="s">
        <v>698</v>
      </c>
      <c r="E271" s="32" t="s">
        <v>93</v>
      </c>
      <c r="F271" s="32" t="s">
        <v>505</v>
      </c>
      <c r="G271" s="33"/>
      <c r="H271" s="32">
        <v>16</v>
      </c>
      <c r="I271" s="32">
        <v>1</v>
      </c>
      <c r="J271" s="32">
        <v>74</v>
      </c>
      <c r="K271" s="32">
        <v>0</v>
      </c>
      <c r="L271" s="33">
        <v>9800000</v>
      </c>
      <c r="M271" s="33">
        <v>981500</v>
      </c>
      <c r="N271" s="33">
        <v>41400</v>
      </c>
      <c r="O271" s="33">
        <v>9023</v>
      </c>
      <c r="P271" s="34">
        <f t="shared" si="16"/>
        <v>0.10529826530612245</v>
      </c>
      <c r="Q271" s="34">
        <f t="shared" si="17"/>
        <v>0.10015306122448979</v>
      </c>
      <c r="R271" s="35" t="str">
        <f t="shared" si="18"/>
        <v/>
      </c>
      <c r="S271" s="32" t="str">
        <f>IF(AND(L271&gt;=INDEX(Succès!$D$10:$D$13,MATCH(A271,Succès!$A$10:$A$13,0)),P271&gt;=INDEX(Succès!$E$10:$E$13,MATCH(A271,Succès!$A$10:$A$13,0))),"Succès complet",IF(P271&gt;=INDEX(Succès!$E$10:$E$13,MATCH(A271,Succès!$A$10:$A$13,0)),"Engagé, portée modeste",IF(L271&gt;=INDEX(Succès!$D$10:$D$13,MATCH(A271,Succès!$A$10:$A$13,0)),"Portée sans engagement","Standard")))</f>
        <v>Succès complet</v>
      </c>
      <c r="T271" s="32">
        <f t="shared" si="19"/>
        <v>1</v>
      </c>
    </row>
    <row r="272" spans="1:20">
      <c r="A272" s="32" t="s">
        <v>46</v>
      </c>
      <c r="B272" s="32" t="s">
        <v>768</v>
      </c>
      <c r="C272" s="32" t="s">
        <v>697</v>
      </c>
      <c r="D272" s="32" t="s">
        <v>698</v>
      </c>
      <c r="E272" s="32" t="s">
        <v>93</v>
      </c>
      <c r="F272" s="32" t="s">
        <v>505</v>
      </c>
      <c r="G272" s="33"/>
      <c r="H272" s="32">
        <v>55</v>
      </c>
      <c r="I272" s="32">
        <v>1</v>
      </c>
      <c r="J272" s="32">
        <v>86</v>
      </c>
      <c r="K272" s="32">
        <v>0</v>
      </c>
      <c r="L272" s="33">
        <v>5700000</v>
      </c>
      <c r="M272" s="33">
        <v>508800</v>
      </c>
      <c r="N272" s="33">
        <v>18600</v>
      </c>
      <c r="O272" s="33">
        <v>7497</v>
      </c>
      <c r="P272" s="34">
        <f t="shared" si="16"/>
        <v>9.3841578947368415E-2</v>
      </c>
      <c r="Q272" s="34">
        <f t="shared" si="17"/>
        <v>8.9263157894736836E-2</v>
      </c>
      <c r="R272" s="35" t="str">
        <f t="shared" si="18"/>
        <v/>
      </c>
      <c r="S272" s="32" t="str">
        <f>IF(AND(L272&gt;=INDEX(Succès!$D$10:$D$13,MATCH(A272,Succès!$A$10:$A$13,0)),P272&gt;=INDEX(Succès!$E$10:$E$13,MATCH(A272,Succès!$A$10:$A$13,0))),"Succès complet",IF(P272&gt;=INDEX(Succès!$E$10:$E$13,MATCH(A272,Succès!$A$10:$A$13,0)),"Engagé, portée modeste",IF(L272&gt;=INDEX(Succès!$D$10:$D$13,MATCH(A272,Succès!$A$10:$A$13,0)),"Portée sans engagement","Standard")))</f>
        <v>Succès complet</v>
      </c>
      <c r="T272" s="32">
        <f t="shared" si="19"/>
        <v>1</v>
      </c>
    </row>
    <row r="273" spans="1:20">
      <c r="A273" s="32" t="s">
        <v>46</v>
      </c>
      <c r="B273" s="32" t="s">
        <v>769</v>
      </c>
      <c r="C273" s="32" t="s">
        <v>697</v>
      </c>
      <c r="D273" s="32" t="s">
        <v>698</v>
      </c>
      <c r="E273" s="32" t="s">
        <v>93</v>
      </c>
      <c r="F273" s="32" t="s">
        <v>505</v>
      </c>
      <c r="G273" s="33"/>
      <c r="H273" s="32">
        <v>15</v>
      </c>
      <c r="I273" s="32">
        <v>1</v>
      </c>
      <c r="J273" s="32">
        <v>116</v>
      </c>
      <c r="K273" s="32">
        <v>0</v>
      </c>
      <c r="L273" s="33">
        <v>4200000</v>
      </c>
      <c r="M273" s="33">
        <v>220300</v>
      </c>
      <c r="N273" s="33">
        <v>11100</v>
      </c>
      <c r="O273" s="33">
        <v>5966</v>
      </c>
      <c r="P273" s="34">
        <f t="shared" si="16"/>
        <v>5.6515714285714287E-2</v>
      </c>
      <c r="Q273" s="34">
        <f t="shared" si="17"/>
        <v>5.2452380952380952E-2</v>
      </c>
      <c r="R273" s="35" t="str">
        <f t="shared" si="18"/>
        <v/>
      </c>
      <c r="S273" s="32" t="str">
        <f>IF(AND(L273&gt;=INDEX(Succès!$D$10:$D$13,MATCH(A273,Succès!$A$10:$A$13,0)),P273&gt;=INDEX(Succès!$E$10:$E$13,MATCH(A273,Succès!$A$10:$A$13,0))),"Succès complet",IF(P273&gt;=INDEX(Succès!$E$10:$E$13,MATCH(A273,Succès!$A$10:$A$13,0)),"Engagé, portée modeste",IF(L273&gt;=INDEX(Succès!$D$10:$D$13,MATCH(A273,Succès!$A$10:$A$13,0)),"Portée sans engagement","Standard")))</f>
        <v>Portée sans engagement</v>
      </c>
      <c r="T273" s="32">
        <f t="shared" si="19"/>
        <v>0</v>
      </c>
    </row>
    <row r="274" spans="1:20">
      <c r="A274" s="32" t="s">
        <v>46</v>
      </c>
      <c r="B274" s="32" t="s">
        <v>770</v>
      </c>
      <c r="C274" s="32" t="s">
        <v>697</v>
      </c>
      <c r="D274" s="32" t="s">
        <v>698</v>
      </c>
      <c r="E274" s="32" t="s">
        <v>93</v>
      </c>
      <c r="F274" s="32" t="s">
        <v>505</v>
      </c>
      <c r="G274" s="33"/>
      <c r="H274" s="32">
        <v>15</v>
      </c>
      <c r="I274" s="32">
        <v>0</v>
      </c>
      <c r="J274" s="32">
        <v>43</v>
      </c>
      <c r="K274" s="32">
        <v>0</v>
      </c>
      <c r="L274" s="33">
        <v>5100000</v>
      </c>
      <c r="M274" s="33">
        <v>443600</v>
      </c>
      <c r="N274" s="33">
        <v>26100</v>
      </c>
      <c r="O274" s="33">
        <v>12200</v>
      </c>
      <c r="P274" s="34">
        <f t="shared" si="16"/>
        <v>9.4490196078431371E-2</v>
      </c>
      <c r="Q274" s="34">
        <f t="shared" si="17"/>
        <v>8.6980392156862749E-2</v>
      </c>
      <c r="R274" s="35" t="str">
        <f t="shared" si="18"/>
        <v/>
      </c>
      <c r="S274" s="32" t="str">
        <f>IF(AND(L274&gt;=INDEX(Succès!$D$10:$D$13,MATCH(A274,Succès!$A$10:$A$13,0)),P274&gt;=INDEX(Succès!$E$10:$E$13,MATCH(A274,Succès!$A$10:$A$13,0))),"Succès complet",IF(P274&gt;=INDEX(Succès!$E$10:$E$13,MATCH(A274,Succès!$A$10:$A$13,0)),"Engagé, portée modeste",IF(L274&gt;=INDEX(Succès!$D$10:$D$13,MATCH(A274,Succès!$A$10:$A$13,0)),"Portée sans engagement","Standard")))</f>
        <v>Succès complet</v>
      </c>
      <c r="T274" s="32">
        <f t="shared" si="19"/>
        <v>1</v>
      </c>
    </row>
    <row r="275" spans="1:20">
      <c r="A275" s="32" t="s">
        <v>46</v>
      </c>
      <c r="B275" s="32" t="s">
        <v>771</v>
      </c>
      <c r="C275" s="32" t="s">
        <v>697</v>
      </c>
      <c r="D275" s="32" t="s">
        <v>698</v>
      </c>
      <c r="E275" s="32" t="s">
        <v>93</v>
      </c>
      <c r="F275" s="32" t="s">
        <v>505</v>
      </c>
      <c r="G275" s="33"/>
      <c r="H275" s="32">
        <v>15</v>
      </c>
      <c r="I275" s="32">
        <v>0</v>
      </c>
      <c r="J275" s="32">
        <v>19</v>
      </c>
      <c r="K275" s="32">
        <v>0</v>
      </c>
      <c r="L275" s="33">
        <v>10900000</v>
      </c>
      <c r="M275" s="33">
        <v>1100000</v>
      </c>
      <c r="N275" s="33">
        <v>40900</v>
      </c>
      <c r="O275" s="33">
        <v>13600</v>
      </c>
      <c r="P275" s="34">
        <f t="shared" si="16"/>
        <v>0.10591743119266055</v>
      </c>
      <c r="Q275" s="34">
        <f t="shared" si="17"/>
        <v>0.10091743119266056</v>
      </c>
      <c r="R275" s="35" t="str">
        <f t="shared" si="18"/>
        <v/>
      </c>
      <c r="S275" s="32" t="str">
        <f>IF(AND(L275&gt;=INDEX(Succès!$D$10:$D$13,MATCH(A275,Succès!$A$10:$A$13,0)),P275&gt;=INDEX(Succès!$E$10:$E$13,MATCH(A275,Succès!$A$10:$A$13,0))),"Succès complet",IF(P275&gt;=INDEX(Succès!$E$10:$E$13,MATCH(A275,Succès!$A$10:$A$13,0)),"Engagé, portée modeste",IF(L275&gt;=INDEX(Succès!$D$10:$D$13,MATCH(A275,Succès!$A$10:$A$13,0)),"Portée sans engagement","Standard")))</f>
        <v>Succès complet</v>
      </c>
      <c r="T275" s="32">
        <f t="shared" si="19"/>
        <v>1</v>
      </c>
    </row>
    <row r="276" spans="1:20">
      <c r="A276" s="32" t="s">
        <v>46</v>
      </c>
      <c r="B276" s="32" t="s">
        <v>772</v>
      </c>
      <c r="C276" s="32" t="s">
        <v>697</v>
      </c>
      <c r="D276" s="32" t="s">
        <v>698</v>
      </c>
      <c r="E276" s="32" t="s">
        <v>93</v>
      </c>
      <c r="F276" s="32" t="s">
        <v>505</v>
      </c>
      <c r="G276" s="33"/>
      <c r="H276" s="32">
        <v>30</v>
      </c>
      <c r="I276" s="32">
        <v>0</v>
      </c>
      <c r="J276" s="32">
        <v>82</v>
      </c>
      <c r="K276" s="32">
        <v>0</v>
      </c>
      <c r="L276" s="33">
        <v>49200000</v>
      </c>
      <c r="M276" s="33">
        <v>4900000</v>
      </c>
      <c r="N276" s="33">
        <v>470300</v>
      </c>
      <c r="O276" s="33">
        <v>81400</v>
      </c>
      <c r="P276" s="34">
        <f t="shared" si="16"/>
        <v>0.11080691056910569</v>
      </c>
      <c r="Q276" s="34">
        <f t="shared" si="17"/>
        <v>9.959349593495935E-2</v>
      </c>
      <c r="R276" s="35" t="str">
        <f t="shared" si="18"/>
        <v/>
      </c>
      <c r="S276" s="32" t="str">
        <f>IF(AND(L276&gt;=INDEX(Succès!$D$10:$D$13,MATCH(A276,Succès!$A$10:$A$13,0)),P276&gt;=INDEX(Succès!$E$10:$E$13,MATCH(A276,Succès!$A$10:$A$13,0))),"Succès complet",IF(P276&gt;=INDEX(Succès!$E$10:$E$13,MATCH(A276,Succès!$A$10:$A$13,0)),"Engagé, portée modeste",IF(L276&gt;=INDEX(Succès!$D$10:$D$13,MATCH(A276,Succès!$A$10:$A$13,0)),"Portée sans engagement","Standard")))</f>
        <v>Succès complet</v>
      </c>
      <c r="T276" s="32">
        <f t="shared" si="19"/>
        <v>1</v>
      </c>
    </row>
    <row r="277" spans="1:20">
      <c r="A277" s="32" t="s">
        <v>46</v>
      </c>
      <c r="B277" s="32" t="s">
        <v>773</v>
      </c>
      <c r="C277" s="32" t="s">
        <v>697</v>
      </c>
      <c r="D277" s="32" t="s">
        <v>698</v>
      </c>
      <c r="E277" s="32" t="s">
        <v>93</v>
      </c>
      <c r="F277" s="32" t="s">
        <v>505</v>
      </c>
      <c r="G277" s="33"/>
      <c r="H277" s="32">
        <v>44</v>
      </c>
      <c r="I277" s="32">
        <v>2</v>
      </c>
      <c r="J277" s="32">
        <v>109</v>
      </c>
      <c r="K277" s="32">
        <v>0</v>
      </c>
      <c r="L277" s="33">
        <v>12000000</v>
      </c>
      <c r="M277" s="33">
        <v>537200</v>
      </c>
      <c r="N277" s="33">
        <v>18800</v>
      </c>
      <c r="O277" s="33">
        <v>5867</v>
      </c>
      <c r="P277" s="34">
        <f t="shared" si="16"/>
        <v>4.6822250000000003E-2</v>
      </c>
      <c r="Q277" s="34">
        <f t="shared" si="17"/>
        <v>4.476666666666667E-2</v>
      </c>
      <c r="R277" s="35" t="str">
        <f t="shared" si="18"/>
        <v/>
      </c>
      <c r="S277" s="32" t="str">
        <f>IF(AND(L277&gt;=INDEX(Succès!$D$10:$D$13,MATCH(A277,Succès!$A$10:$A$13,0)),P277&gt;=INDEX(Succès!$E$10:$E$13,MATCH(A277,Succès!$A$10:$A$13,0))),"Succès complet",IF(P277&gt;=INDEX(Succès!$E$10:$E$13,MATCH(A277,Succès!$A$10:$A$13,0)),"Engagé, portée modeste",IF(L277&gt;=INDEX(Succès!$D$10:$D$13,MATCH(A277,Succès!$A$10:$A$13,0)),"Portée sans engagement","Standard")))</f>
        <v>Portée sans engagement</v>
      </c>
      <c r="T277" s="32">
        <f t="shared" si="19"/>
        <v>0</v>
      </c>
    </row>
    <row r="278" spans="1:20">
      <c r="A278" s="32" t="s">
        <v>46</v>
      </c>
      <c r="B278" s="32" t="s">
        <v>774</v>
      </c>
      <c r="C278" s="32" t="s">
        <v>697</v>
      </c>
      <c r="D278" s="32" t="s">
        <v>698</v>
      </c>
      <c r="E278" s="32" t="s">
        <v>93</v>
      </c>
      <c r="F278" s="32" t="s">
        <v>505</v>
      </c>
      <c r="G278" s="33"/>
      <c r="H278" s="32">
        <v>48</v>
      </c>
      <c r="I278" s="32">
        <v>0</v>
      </c>
      <c r="J278" s="32">
        <v>101</v>
      </c>
      <c r="K278" s="32">
        <v>0</v>
      </c>
      <c r="L278" s="33">
        <v>7300000</v>
      </c>
      <c r="M278" s="33">
        <v>551000</v>
      </c>
      <c r="N278" s="33">
        <v>17100</v>
      </c>
      <c r="O278" s="33">
        <v>5099</v>
      </c>
      <c r="P278" s="34">
        <f t="shared" si="16"/>
        <v>7.8520410958904108E-2</v>
      </c>
      <c r="Q278" s="34">
        <f t="shared" si="17"/>
        <v>7.5479452054794519E-2</v>
      </c>
      <c r="R278" s="35" t="str">
        <f t="shared" si="18"/>
        <v/>
      </c>
      <c r="S278" s="32" t="str">
        <f>IF(AND(L278&gt;=INDEX(Succès!$D$10:$D$13,MATCH(A278,Succès!$A$10:$A$13,0)),P278&gt;=INDEX(Succès!$E$10:$E$13,MATCH(A278,Succès!$A$10:$A$13,0))),"Succès complet",IF(P278&gt;=INDEX(Succès!$E$10:$E$13,MATCH(A278,Succès!$A$10:$A$13,0)),"Engagé, portée modeste",IF(L278&gt;=INDEX(Succès!$D$10:$D$13,MATCH(A278,Succès!$A$10:$A$13,0)),"Portée sans engagement","Standard")))</f>
        <v>Succès complet</v>
      </c>
      <c r="T278" s="32">
        <f t="shared" si="19"/>
        <v>1</v>
      </c>
    </row>
    <row r="279" spans="1:20">
      <c r="A279" s="32" t="s">
        <v>46</v>
      </c>
      <c r="B279" s="32" t="s">
        <v>775</v>
      </c>
      <c r="C279" s="32" t="s">
        <v>697</v>
      </c>
      <c r="D279" s="32" t="s">
        <v>698</v>
      </c>
      <c r="E279" s="32" t="s">
        <v>93</v>
      </c>
      <c r="F279" s="32" t="s">
        <v>505</v>
      </c>
      <c r="G279" s="33"/>
      <c r="H279" s="32">
        <v>15</v>
      </c>
      <c r="I279" s="32">
        <v>1</v>
      </c>
      <c r="J279" s="32">
        <v>116</v>
      </c>
      <c r="K279" s="32">
        <v>0</v>
      </c>
      <c r="L279" s="33">
        <v>17900000</v>
      </c>
      <c r="M279" s="33">
        <v>415100</v>
      </c>
      <c r="N279" s="33">
        <v>10900</v>
      </c>
      <c r="O279" s="33">
        <v>4279</v>
      </c>
      <c r="P279" s="34">
        <f t="shared" si="16"/>
        <v>2.4037932960893856E-2</v>
      </c>
      <c r="Q279" s="34">
        <f t="shared" si="17"/>
        <v>2.3189944134078211E-2</v>
      </c>
      <c r="R279" s="35" t="str">
        <f t="shared" si="18"/>
        <v/>
      </c>
      <c r="S279" s="32" t="str">
        <f>IF(AND(L279&gt;=INDEX(Succès!$D$10:$D$13,MATCH(A279,Succès!$A$10:$A$13,0)),P279&gt;=INDEX(Succès!$E$10:$E$13,MATCH(A279,Succès!$A$10:$A$13,0))),"Succès complet",IF(P279&gt;=INDEX(Succès!$E$10:$E$13,MATCH(A279,Succès!$A$10:$A$13,0)),"Engagé, portée modeste",IF(L279&gt;=INDEX(Succès!$D$10:$D$13,MATCH(A279,Succès!$A$10:$A$13,0)),"Portée sans engagement","Standard")))</f>
        <v>Portée sans engagement</v>
      </c>
      <c r="T279" s="32">
        <f t="shared" si="19"/>
        <v>0</v>
      </c>
    </row>
    <row r="280" spans="1:20">
      <c r="A280" s="32" t="s">
        <v>46</v>
      </c>
      <c r="B280" s="32" t="s">
        <v>776</v>
      </c>
      <c r="C280" s="32" t="s">
        <v>697</v>
      </c>
      <c r="D280" s="32" t="s">
        <v>698</v>
      </c>
      <c r="E280" s="32" t="s">
        <v>93</v>
      </c>
      <c r="F280" s="32" t="s">
        <v>505</v>
      </c>
      <c r="G280" s="33"/>
      <c r="H280" s="32">
        <v>31</v>
      </c>
      <c r="I280" s="32">
        <v>1</v>
      </c>
      <c r="J280" s="32">
        <v>87</v>
      </c>
      <c r="K280" s="32">
        <v>0</v>
      </c>
      <c r="L280" s="33">
        <v>10300000</v>
      </c>
      <c r="M280" s="33">
        <v>617500</v>
      </c>
      <c r="N280" s="33">
        <v>9802</v>
      </c>
      <c r="O280" s="33">
        <v>6819</v>
      </c>
      <c r="P280" s="34">
        <f t="shared" si="16"/>
        <v>6.1565145631067963E-2</v>
      </c>
      <c r="Q280" s="34">
        <f t="shared" si="17"/>
        <v>5.9951456310679614E-2</v>
      </c>
      <c r="R280" s="35" t="str">
        <f t="shared" si="18"/>
        <v/>
      </c>
      <c r="S280" s="32" t="str">
        <f>IF(AND(L280&gt;=INDEX(Succès!$D$10:$D$13,MATCH(A280,Succès!$A$10:$A$13,0)),P280&gt;=INDEX(Succès!$E$10:$E$13,MATCH(A280,Succès!$A$10:$A$13,0))),"Succès complet",IF(P280&gt;=INDEX(Succès!$E$10:$E$13,MATCH(A280,Succès!$A$10:$A$13,0)),"Engagé, portée modeste",IF(L280&gt;=INDEX(Succès!$D$10:$D$13,MATCH(A280,Succès!$A$10:$A$13,0)),"Portée sans engagement","Standard")))</f>
        <v>Portée sans engagement</v>
      </c>
      <c r="T280" s="32">
        <f t="shared" si="19"/>
        <v>0</v>
      </c>
    </row>
    <row r="281" spans="1:20">
      <c r="A281" s="32" t="s">
        <v>46</v>
      </c>
      <c r="B281" s="32" t="s">
        <v>777</v>
      </c>
      <c r="C281" s="32" t="s">
        <v>697</v>
      </c>
      <c r="D281" s="32" t="s">
        <v>698</v>
      </c>
      <c r="E281" s="32" t="s">
        <v>93</v>
      </c>
      <c r="F281" s="32" t="s">
        <v>505</v>
      </c>
      <c r="G281" s="33"/>
      <c r="H281" s="32">
        <v>16</v>
      </c>
      <c r="I281" s="32">
        <v>1</v>
      </c>
      <c r="J281" s="32">
        <v>70</v>
      </c>
      <c r="K281" s="32">
        <v>0</v>
      </c>
      <c r="L281" s="33">
        <v>4000000</v>
      </c>
      <c r="M281" s="33">
        <v>323500</v>
      </c>
      <c r="N281" s="33">
        <v>15100</v>
      </c>
      <c r="O281" s="33">
        <v>2610</v>
      </c>
      <c r="P281" s="34">
        <f t="shared" si="16"/>
        <v>8.5302500000000003E-2</v>
      </c>
      <c r="Q281" s="34">
        <f t="shared" si="17"/>
        <v>8.0875000000000002E-2</v>
      </c>
      <c r="R281" s="35" t="str">
        <f t="shared" si="18"/>
        <v/>
      </c>
      <c r="S281" s="32" t="str">
        <f>IF(AND(L281&gt;=INDEX(Succès!$D$10:$D$13,MATCH(A281,Succès!$A$10:$A$13,0)),P281&gt;=INDEX(Succès!$E$10:$E$13,MATCH(A281,Succès!$A$10:$A$13,0))),"Succès complet",IF(P281&gt;=INDEX(Succès!$E$10:$E$13,MATCH(A281,Succès!$A$10:$A$13,0)),"Engagé, portée modeste",IF(L281&gt;=INDEX(Succès!$D$10:$D$13,MATCH(A281,Succès!$A$10:$A$13,0)),"Portée sans engagement","Standard")))</f>
        <v>Succès complet</v>
      </c>
      <c r="T281" s="32">
        <f t="shared" si="19"/>
        <v>1</v>
      </c>
    </row>
    <row r="282" spans="1:20">
      <c r="A282" s="32" t="s">
        <v>46</v>
      </c>
      <c r="B282" s="32" t="s">
        <v>778</v>
      </c>
      <c r="C282" s="32" t="s">
        <v>697</v>
      </c>
      <c r="D282" s="32" t="s">
        <v>698</v>
      </c>
      <c r="E282" s="32" t="s">
        <v>93</v>
      </c>
      <c r="F282" s="32" t="s">
        <v>505</v>
      </c>
      <c r="G282" s="33"/>
      <c r="H282" s="32">
        <v>48</v>
      </c>
      <c r="I282" s="32">
        <v>1</v>
      </c>
      <c r="J282" s="32">
        <v>44</v>
      </c>
      <c r="K282" s="32">
        <v>0</v>
      </c>
      <c r="L282" s="33">
        <v>10800000</v>
      </c>
      <c r="M282" s="33">
        <v>972000</v>
      </c>
      <c r="N282" s="33">
        <v>17300</v>
      </c>
      <c r="O282" s="33">
        <v>6064</v>
      </c>
      <c r="P282" s="34">
        <f t="shared" si="16"/>
        <v>9.2163333333333333E-2</v>
      </c>
      <c r="Q282" s="34">
        <f t="shared" si="17"/>
        <v>0.09</v>
      </c>
      <c r="R282" s="35" t="str">
        <f t="shared" si="18"/>
        <v/>
      </c>
      <c r="S282" s="32" t="str">
        <f>IF(AND(L282&gt;=INDEX(Succès!$D$10:$D$13,MATCH(A282,Succès!$A$10:$A$13,0)),P282&gt;=INDEX(Succès!$E$10:$E$13,MATCH(A282,Succès!$A$10:$A$13,0))),"Succès complet",IF(P282&gt;=INDEX(Succès!$E$10:$E$13,MATCH(A282,Succès!$A$10:$A$13,0)),"Engagé, portée modeste",IF(L282&gt;=INDEX(Succès!$D$10:$D$13,MATCH(A282,Succès!$A$10:$A$13,0)),"Portée sans engagement","Standard")))</f>
        <v>Succès complet</v>
      </c>
      <c r="T282" s="32">
        <f t="shared" si="19"/>
        <v>1</v>
      </c>
    </row>
    <row r="283" spans="1:20">
      <c r="A283" s="32" t="s">
        <v>46</v>
      </c>
      <c r="B283" s="32" t="s">
        <v>779</v>
      </c>
      <c r="C283" s="32" t="s">
        <v>697</v>
      </c>
      <c r="D283" s="32" t="s">
        <v>698</v>
      </c>
      <c r="E283" s="32" t="s">
        <v>93</v>
      </c>
      <c r="F283" s="32" t="s">
        <v>505</v>
      </c>
      <c r="G283" s="33"/>
      <c r="H283" s="32">
        <v>8</v>
      </c>
      <c r="I283" s="32">
        <v>1</v>
      </c>
      <c r="J283" s="32">
        <v>40</v>
      </c>
      <c r="K283" s="32">
        <v>0</v>
      </c>
      <c r="L283" s="33">
        <v>12200000</v>
      </c>
      <c r="M283" s="33">
        <v>1100000</v>
      </c>
      <c r="N283" s="33">
        <v>9932</v>
      </c>
      <c r="O283" s="33">
        <v>5109</v>
      </c>
      <c r="P283" s="34">
        <f t="shared" si="16"/>
        <v>9.1396803278688529E-2</v>
      </c>
      <c r="Q283" s="34">
        <f t="shared" si="17"/>
        <v>9.0163934426229511E-2</v>
      </c>
      <c r="R283" s="35" t="str">
        <f t="shared" si="18"/>
        <v/>
      </c>
      <c r="S283" s="32" t="str">
        <f>IF(AND(L283&gt;=INDEX(Succès!$D$10:$D$13,MATCH(A283,Succès!$A$10:$A$13,0)),P283&gt;=INDEX(Succès!$E$10:$E$13,MATCH(A283,Succès!$A$10:$A$13,0))),"Succès complet",IF(P283&gt;=INDEX(Succès!$E$10:$E$13,MATCH(A283,Succès!$A$10:$A$13,0)),"Engagé, portée modeste",IF(L283&gt;=INDEX(Succès!$D$10:$D$13,MATCH(A283,Succès!$A$10:$A$13,0)),"Portée sans engagement","Standard")))</f>
        <v>Succès complet</v>
      </c>
      <c r="T283" s="32">
        <f t="shared" si="19"/>
        <v>1</v>
      </c>
    </row>
    <row r="284" spans="1:20">
      <c r="A284" s="32" t="s">
        <v>46</v>
      </c>
      <c r="B284" s="32" t="s">
        <v>780</v>
      </c>
      <c r="C284" s="32" t="s">
        <v>697</v>
      </c>
      <c r="D284" s="32" t="s">
        <v>698</v>
      </c>
      <c r="E284" s="32" t="s">
        <v>93</v>
      </c>
      <c r="F284" s="32" t="s">
        <v>505</v>
      </c>
      <c r="G284" s="33"/>
      <c r="H284" s="32">
        <v>33</v>
      </c>
      <c r="I284" s="32">
        <v>0</v>
      </c>
      <c r="J284" s="32">
        <v>84</v>
      </c>
      <c r="K284" s="32">
        <v>0</v>
      </c>
      <c r="L284" s="33">
        <v>8600000</v>
      </c>
      <c r="M284" s="33">
        <v>780200</v>
      </c>
      <c r="N284" s="33">
        <v>13900</v>
      </c>
      <c r="O284" s="33">
        <v>6986</v>
      </c>
      <c r="P284" s="34">
        <f t="shared" si="16"/>
        <v>9.3149534883720936E-2</v>
      </c>
      <c r="Q284" s="34">
        <f t="shared" si="17"/>
        <v>9.0720930232558145E-2</v>
      </c>
      <c r="R284" s="35" t="str">
        <f t="shared" si="18"/>
        <v/>
      </c>
      <c r="S284" s="32" t="str">
        <f>IF(AND(L284&gt;=INDEX(Succès!$D$10:$D$13,MATCH(A284,Succès!$A$10:$A$13,0)),P284&gt;=INDEX(Succès!$E$10:$E$13,MATCH(A284,Succès!$A$10:$A$13,0))),"Succès complet",IF(P284&gt;=INDEX(Succès!$E$10:$E$13,MATCH(A284,Succès!$A$10:$A$13,0)),"Engagé, portée modeste",IF(L284&gt;=INDEX(Succès!$D$10:$D$13,MATCH(A284,Succès!$A$10:$A$13,0)),"Portée sans engagement","Standard")))</f>
        <v>Succès complet</v>
      </c>
      <c r="T284" s="32">
        <f t="shared" si="19"/>
        <v>1</v>
      </c>
    </row>
    <row r="285" spans="1:20">
      <c r="A285" s="32" t="s">
        <v>46</v>
      </c>
      <c r="B285" s="32" t="s">
        <v>781</v>
      </c>
      <c r="C285" s="32" t="s">
        <v>697</v>
      </c>
      <c r="D285" s="32" t="s">
        <v>698</v>
      </c>
      <c r="E285" s="32" t="s">
        <v>93</v>
      </c>
      <c r="F285" s="32" t="s">
        <v>505</v>
      </c>
      <c r="G285" s="33"/>
      <c r="H285" s="32">
        <v>29</v>
      </c>
      <c r="I285" s="32">
        <v>0</v>
      </c>
      <c r="J285" s="32">
        <v>56</v>
      </c>
      <c r="K285" s="32">
        <v>0</v>
      </c>
      <c r="L285" s="33">
        <v>5800000</v>
      </c>
      <c r="M285" s="33">
        <v>434900</v>
      </c>
      <c r="N285" s="33">
        <v>161100</v>
      </c>
      <c r="O285" s="33">
        <v>6826</v>
      </c>
      <c r="P285" s="34">
        <f t="shared" si="16"/>
        <v>0.10393551724137931</v>
      </c>
      <c r="Q285" s="34">
        <f t="shared" si="17"/>
        <v>7.4982758620689649E-2</v>
      </c>
      <c r="R285" s="35" t="str">
        <f t="shared" si="18"/>
        <v/>
      </c>
      <c r="S285" s="32" t="str">
        <f>IF(AND(L285&gt;=INDEX(Succès!$D$10:$D$13,MATCH(A285,Succès!$A$10:$A$13,0)),P285&gt;=INDEX(Succès!$E$10:$E$13,MATCH(A285,Succès!$A$10:$A$13,0))),"Succès complet",IF(P285&gt;=INDEX(Succès!$E$10:$E$13,MATCH(A285,Succès!$A$10:$A$13,0)),"Engagé, portée modeste",IF(L285&gt;=INDEX(Succès!$D$10:$D$13,MATCH(A285,Succès!$A$10:$A$13,0)),"Portée sans engagement","Standard")))</f>
        <v>Succès complet</v>
      </c>
      <c r="T285" s="32">
        <f t="shared" si="19"/>
        <v>1</v>
      </c>
    </row>
    <row r="286" spans="1:20">
      <c r="A286" s="32" t="s">
        <v>46</v>
      </c>
      <c r="B286" s="32" t="s">
        <v>782</v>
      </c>
      <c r="C286" s="32" t="s">
        <v>697</v>
      </c>
      <c r="D286" s="32" t="s">
        <v>698</v>
      </c>
      <c r="E286" s="32" t="s">
        <v>93</v>
      </c>
      <c r="F286" s="32" t="s">
        <v>505</v>
      </c>
      <c r="G286" s="33"/>
      <c r="H286" s="32">
        <v>59</v>
      </c>
      <c r="I286" s="32">
        <v>1</v>
      </c>
      <c r="J286" s="32">
        <v>133</v>
      </c>
      <c r="K286" s="32">
        <v>0</v>
      </c>
      <c r="L286" s="33">
        <v>4300000</v>
      </c>
      <c r="M286" s="33">
        <v>269200</v>
      </c>
      <c r="N286" s="33">
        <v>32400</v>
      </c>
      <c r="O286" s="33">
        <v>5061</v>
      </c>
      <c r="P286" s="34">
        <f t="shared" si="16"/>
        <v>7.1316511627906976E-2</v>
      </c>
      <c r="Q286" s="34">
        <f t="shared" si="17"/>
        <v>6.2604651162790695E-2</v>
      </c>
      <c r="R286" s="35" t="str">
        <f t="shared" si="18"/>
        <v/>
      </c>
      <c r="S286" s="32" t="str">
        <f>IF(AND(L286&gt;=INDEX(Succès!$D$10:$D$13,MATCH(A286,Succès!$A$10:$A$13,0)),P286&gt;=INDEX(Succès!$E$10:$E$13,MATCH(A286,Succès!$A$10:$A$13,0))),"Succès complet",IF(P286&gt;=INDEX(Succès!$E$10:$E$13,MATCH(A286,Succès!$A$10:$A$13,0)),"Engagé, portée modeste",IF(L286&gt;=INDEX(Succès!$D$10:$D$13,MATCH(A286,Succès!$A$10:$A$13,0)),"Portée sans engagement","Standard")))</f>
        <v>Succès complet</v>
      </c>
      <c r="T286" s="32">
        <f t="shared" si="19"/>
        <v>1</v>
      </c>
    </row>
    <row r="287" spans="1:20">
      <c r="A287" s="32" t="s">
        <v>46</v>
      </c>
      <c r="B287" s="32" t="s">
        <v>783</v>
      </c>
      <c r="C287" s="32" t="s">
        <v>697</v>
      </c>
      <c r="D287" s="32" t="s">
        <v>698</v>
      </c>
      <c r="E287" s="32" t="s">
        <v>93</v>
      </c>
      <c r="F287" s="32" t="s">
        <v>505</v>
      </c>
      <c r="G287" s="33"/>
      <c r="H287" s="32">
        <v>28</v>
      </c>
      <c r="I287" s="32">
        <v>1</v>
      </c>
      <c r="J287" s="32">
        <v>81</v>
      </c>
      <c r="K287" s="32">
        <v>0</v>
      </c>
      <c r="L287" s="33">
        <v>5600000</v>
      </c>
      <c r="M287" s="33">
        <v>428100</v>
      </c>
      <c r="N287" s="33">
        <v>22900</v>
      </c>
      <c r="O287" s="33">
        <v>4864</v>
      </c>
      <c r="P287" s="34">
        <f t="shared" si="16"/>
        <v>8.1404285714285721E-2</v>
      </c>
      <c r="Q287" s="34">
        <f t="shared" si="17"/>
        <v>7.6446428571428568E-2</v>
      </c>
      <c r="R287" s="35" t="str">
        <f t="shared" si="18"/>
        <v/>
      </c>
      <c r="S287" s="32" t="str">
        <f>IF(AND(L287&gt;=INDEX(Succès!$D$10:$D$13,MATCH(A287,Succès!$A$10:$A$13,0)),P287&gt;=INDEX(Succès!$E$10:$E$13,MATCH(A287,Succès!$A$10:$A$13,0))),"Succès complet",IF(P287&gt;=INDEX(Succès!$E$10:$E$13,MATCH(A287,Succès!$A$10:$A$13,0)),"Engagé, portée modeste",IF(L287&gt;=INDEX(Succès!$D$10:$D$13,MATCH(A287,Succès!$A$10:$A$13,0)),"Portée sans engagement","Standard")))</f>
        <v>Succès complet</v>
      </c>
      <c r="T287" s="32">
        <f t="shared" si="19"/>
        <v>1</v>
      </c>
    </row>
    <row r="288" spans="1:20">
      <c r="A288" s="32" t="s">
        <v>46</v>
      </c>
      <c r="B288" s="32" t="s">
        <v>784</v>
      </c>
      <c r="C288" s="32" t="s">
        <v>697</v>
      </c>
      <c r="D288" s="32" t="s">
        <v>698</v>
      </c>
      <c r="E288" s="32" t="s">
        <v>93</v>
      </c>
      <c r="F288" s="32" t="s">
        <v>505</v>
      </c>
      <c r="G288" s="33"/>
      <c r="H288" s="32">
        <v>30</v>
      </c>
      <c r="I288" s="32">
        <v>1</v>
      </c>
      <c r="J288" s="32">
        <v>39</v>
      </c>
      <c r="K288" s="32">
        <v>0</v>
      </c>
      <c r="L288" s="33">
        <v>3300000</v>
      </c>
      <c r="M288" s="33">
        <v>327600</v>
      </c>
      <c r="N288" s="33">
        <v>13300</v>
      </c>
      <c r="O288" s="33">
        <v>3258</v>
      </c>
      <c r="P288" s="34">
        <f t="shared" si="16"/>
        <v>0.10429030303030302</v>
      </c>
      <c r="Q288" s="34">
        <f t="shared" si="17"/>
        <v>9.9272727272727276E-2</v>
      </c>
      <c r="R288" s="35" t="str">
        <f t="shared" si="18"/>
        <v/>
      </c>
      <c r="S288" s="32" t="str">
        <f>IF(AND(L288&gt;=INDEX(Succès!$D$10:$D$13,MATCH(A288,Succès!$A$10:$A$13,0)),P288&gt;=INDEX(Succès!$E$10:$E$13,MATCH(A288,Succès!$A$10:$A$13,0))),"Succès complet",IF(P288&gt;=INDEX(Succès!$E$10:$E$13,MATCH(A288,Succès!$A$10:$A$13,0)),"Engagé, portée modeste",IF(L288&gt;=INDEX(Succès!$D$10:$D$13,MATCH(A288,Succès!$A$10:$A$13,0)),"Portée sans engagement","Standard")))</f>
        <v>Succès complet</v>
      </c>
      <c r="T288" s="32">
        <f t="shared" si="19"/>
        <v>1</v>
      </c>
    </row>
    <row r="289" spans="1:20">
      <c r="A289" s="32" t="s">
        <v>46</v>
      </c>
      <c r="B289" s="32" t="s">
        <v>785</v>
      </c>
      <c r="C289" s="32" t="s">
        <v>697</v>
      </c>
      <c r="D289" s="32" t="s">
        <v>698</v>
      </c>
      <c r="E289" s="32" t="s">
        <v>93</v>
      </c>
      <c r="F289" s="32" t="s">
        <v>505</v>
      </c>
      <c r="G289" s="33"/>
      <c r="H289" s="32">
        <v>18</v>
      </c>
      <c r="I289" s="32">
        <v>1</v>
      </c>
      <c r="J289" s="32">
        <v>69</v>
      </c>
      <c r="K289" s="32">
        <v>0</v>
      </c>
      <c r="L289" s="33">
        <v>6500000</v>
      </c>
      <c r="M289" s="33">
        <v>598800</v>
      </c>
      <c r="N289" s="33">
        <v>13700</v>
      </c>
      <c r="O289" s="33">
        <v>5671</v>
      </c>
      <c r="P289" s="34">
        <f t="shared" si="16"/>
        <v>9.5103230769230773E-2</v>
      </c>
      <c r="Q289" s="34">
        <f t="shared" si="17"/>
        <v>9.2123076923076919E-2</v>
      </c>
      <c r="R289" s="35" t="str">
        <f t="shared" si="18"/>
        <v/>
      </c>
      <c r="S289" s="32" t="str">
        <f>IF(AND(L289&gt;=INDEX(Succès!$D$10:$D$13,MATCH(A289,Succès!$A$10:$A$13,0)),P289&gt;=INDEX(Succès!$E$10:$E$13,MATCH(A289,Succès!$A$10:$A$13,0))),"Succès complet",IF(P289&gt;=INDEX(Succès!$E$10:$E$13,MATCH(A289,Succès!$A$10:$A$13,0)),"Engagé, portée modeste",IF(L289&gt;=INDEX(Succès!$D$10:$D$13,MATCH(A289,Succès!$A$10:$A$13,0)),"Portée sans engagement","Standard")))</f>
        <v>Succès complet</v>
      </c>
      <c r="T289" s="32">
        <f t="shared" si="19"/>
        <v>1</v>
      </c>
    </row>
    <row r="290" spans="1:20">
      <c r="A290" s="32" t="s">
        <v>46</v>
      </c>
      <c r="B290" s="32" t="s">
        <v>786</v>
      </c>
      <c r="C290" s="32" t="s">
        <v>697</v>
      </c>
      <c r="D290" s="32" t="s">
        <v>698</v>
      </c>
      <c r="E290" s="32" t="s">
        <v>93</v>
      </c>
      <c r="F290" s="32" t="s">
        <v>505</v>
      </c>
      <c r="G290" s="33"/>
      <c r="H290" s="32">
        <v>59</v>
      </c>
      <c r="I290" s="32">
        <v>1</v>
      </c>
      <c r="J290" s="32">
        <v>82</v>
      </c>
      <c r="K290" s="32">
        <v>0</v>
      </c>
      <c r="L290" s="33">
        <v>3200000</v>
      </c>
      <c r="M290" s="33">
        <v>315500</v>
      </c>
      <c r="N290" s="33">
        <v>7007</v>
      </c>
      <c r="O290" s="33">
        <v>2507</v>
      </c>
      <c r="P290" s="34">
        <f t="shared" si="16"/>
        <v>0.101566875</v>
      </c>
      <c r="Q290" s="34">
        <f t="shared" si="17"/>
        <v>9.8593749999999994E-2</v>
      </c>
      <c r="R290" s="35" t="str">
        <f t="shared" si="18"/>
        <v/>
      </c>
      <c r="S290" s="32" t="str">
        <f>IF(AND(L290&gt;=INDEX(Succès!$D$10:$D$13,MATCH(A290,Succès!$A$10:$A$13,0)),P290&gt;=INDEX(Succès!$E$10:$E$13,MATCH(A290,Succès!$A$10:$A$13,0))),"Succès complet",IF(P290&gt;=INDEX(Succès!$E$10:$E$13,MATCH(A290,Succès!$A$10:$A$13,0)),"Engagé, portée modeste",IF(L290&gt;=INDEX(Succès!$D$10:$D$13,MATCH(A290,Succès!$A$10:$A$13,0)),"Portée sans engagement","Standard")))</f>
        <v>Engagé, portée modeste</v>
      </c>
      <c r="T290" s="32">
        <f t="shared" si="19"/>
        <v>0</v>
      </c>
    </row>
    <row r="291" spans="1:20">
      <c r="A291" s="32" t="s">
        <v>46</v>
      </c>
      <c r="B291" s="32" t="s">
        <v>787</v>
      </c>
      <c r="C291" s="32" t="s">
        <v>697</v>
      </c>
      <c r="D291" s="32" t="s">
        <v>698</v>
      </c>
      <c r="E291" s="32" t="s">
        <v>93</v>
      </c>
      <c r="F291" s="32" t="s">
        <v>505</v>
      </c>
      <c r="G291" s="33"/>
      <c r="H291" s="32">
        <v>40</v>
      </c>
      <c r="I291" s="32">
        <v>1</v>
      </c>
      <c r="J291" s="32">
        <v>86</v>
      </c>
      <c r="K291" s="32">
        <v>0</v>
      </c>
      <c r="L291" s="33">
        <v>2400000</v>
      </c>
      <c r="M291" s="33">
        <v>219400</v>
      </c>
      <c r="N291" s="33">
        <v>4700</v>
      </c>
      <c r="O291" s="33">
        <v>1489</v>
      </c>
      <c r="P291" s="34">
        <f t="shared" si="16"/>
        <v>9.3995416666666665E-2</v>
      </c>
      <c r="Q291" s="34">
        <f t="shared" si="17"/>
        <v>9.141666666666666E-2</v>
      </c>
      <c r="R291" s="35" t="str">
        <f t="shared" si="18"/>
        <v/>
      </c>
      <c r="S291" s="32" t="str">
        <f>IF(AND(L291&gt;=INDEX(Succès!$D$10:$D$13,MATCH(A291,Succès!$A$10:$A$13,0)),P291&gt;=INDEX(Succès!$E$10:$E$13,MATCH(A291,Succès!$A$10:$A$13,0))),"Succès complet",IF(P291&gt;=INDEX(Succès!$E$10:$E$13,MATCH(A291,Succès!$A$10:$A$13,0)),"Engagé, portée modeste",IF(L291&gt;=INDEX(Succès!$D$10:$D$13,MATCH(A291,Succès!$A$10:$A$13,0)),"Portée sans engagement","Standard")))</f>
        <v>Engagé, portée modeste</v>
      </c>
      <c r="T291" s="32">
        <f t="shared" si="19"/>
        <v>0</v>
      </c>
    </row>
    <row r="292" spans="1:20">
      <c r="A292" s="32" t="s">
        <v>46</v>
      </c>
      <c r="B292" s="32" t="s">
        <v>788</v>
      </c>
      <c r="C292" s="32" t="s">
        <v>697</v>
      </c>
      <c r="D292" s="32" t="s">
        <v>698</v>
      </c>
      <c r="E292" s="32" t="s">
        <v>93</v>
      </c>
      <c r="F292" s="32" t="s">
        <v>505</v>
      </c>
      <c r="G292" s="33"/>
      <c r="H292" s="32">
        <v>9</v>
      </c>
      <c r="I292" s="32">
        <v>2</v>
      </c>
      <c r="J292" s="32">
        <v>62</v>
      </c>
      <c r="K292" s="32">
        <v>0</v>
      </c>
      <c r="L292" s="33">
        <v>4200000</v>
      </c>
      <c r="M292" s="33">
        <v>331200</v>
      </c>
      <c r="N292" s="33">
        <v>6088</v>
      </c>
      <c r="O292" s="33">
        <v>4605</v>
      </c>
      <c r="P292" s="34">
        <f t="shared" si="16"/>
        <v>8.1403095238095233E-2</v>
      </c>
      <c r="Q292" s="34">
        <f t="shared" si="17"/>
        <v>7.8857142857142862E-2</v>
      </c>
      <c r="R292" s="35" t="str">
        <f t="shared" si="18"/>
        <v/>
      </c>
      <c r="S292" s="32" t="str">
        <f>IF(AND(L292&gt;=INDEX(Succès!$D$10:$D$13,MATCH(A292,Succès!$A$10:$A$13,0)),P292&gt;=INDEX(Succès!$E$10:$E$13,MATCH(A292,Succès!$A$10:$A$13,0))),"Succès complet",IF(P292&gt;=INDEX(Succès!$E$10:$E$13,MATCH(A292,Succès!$A$10:$A$13,0)),"Engagé, portée modeste",IF(L292&gt;=INDEX(Succès!$D$10:$D$13,MATCH(A292,Succès!$A$10:$A$13,0)),"Portée sans engagement","Standard")))</f>
        <v>Succès complet</v>
      </c>
      <c r="T292" s="32">
        <f t="shared" si="19"/>
        <v>1</v>
      </c>
    </row>
    <row r="293" spans="1:20">
      <c r="A293" s="32" t="s">
        <v>46</v>
      </c>
      <c r="B293" s="32" t="s">
        <v>789</v>
      </c>
      <c r="C293" s="32" t="s">
        <v>697</v>
      </c>
      <c r="D293" s="32" t="s">
        <v>698</v>
      </c>
      <c r="E293" s="32" t="s">
        <v>93</v>
      </c>
      <c r="F293" s="32" t="s">
        <v>505</v>
      </c>
      <c r="G293" s="33"/>
      <c r="H293" s="32">
        <v>20</v>
      </c>
      <c r="I293" s="32">
        <v>0</v>
      </c>
      <c r="J293" s="32">
        <v>77</v>
      </c>
      <c r="K293" s="32">
        <v>0</v>
      </c>
      <c r="L293" s="33">
        <v>3200000</v>
      </c>
      <c r="M293" s="33">
        <v>288300</v>
      </c>
      <c r="N293" s="33">
        <v>5109</v>
      </c>
      <c r="O293" s="33">
        <v>5483</v>
      </c>
      <c r="P293" s="34">
        <f t="shared" si="16"/>
        <v>9.3403749999999994E-2</v>
      </c>
      <c r="Q293" s="34">
        <f t="shared" si="17"/>
        <v>9.009375E-2</v>
      </c>
      <c r="R293" s="35" t="str">
        <f t="shared" si="18"/>
        <v/>
      </c>
      <c r="S293" s="32" t="str">
        <f>IF(AND(L293&gt;=INDEX(Succès!$D$10:$D$13,MATCH(A293,Succès!$A$10:$A$13,0)),P293&gt;=INDEX(Succès!$E$10:$E$13,MATCH(A293,Succès!$A$10:$A$13,0))),"Succès complet",IF(P293&gt;=INDEX(Succès!$E$10:$E$13,MATCH(A293,Succès!$A$10:$A$13,0)),"Engagé, portée modeste",IF(L293&gt;=INDEX(Succès!$D$10:$D$13,MATCH(A293,Succès!$A$10:$A$13,0)),"Portée sans engagement","Standard")))</f>
        <v>Engagé, portée modeste</v>
      </c>
      <c r="T293" s="32">
        <f t="shared" si="19"/>
        <v>0</v>
      </c>
    </row>
    <row r="294" spans="1:20">
      <c r="A294" s="32" t="s">
        <v>46</v>
      </c>
      <c r="B294" s="32" t="s">
        <v>790</v>
      </c>
      <c r="C294" s="32" t="s">
        <v>697</v>
      </c>
      <c r="D294" s="32" t="s">
        <v>698</v>
      </c>
      <c r="E294" s="32" t="s">
        <v>93</v>
      </c>
      <c r="F294" s="32" t="s">
        <v>505</v>
      </c>
      <c r="G294" s="33"/>
      <c r="H294" s="32">
        <v>11</v>
      </c>
      <c r="I294" s="32">
        <v>1</v>
      </c>
      <c r="J294" s="32">
        <v>21</v>
      </c>
      <c r="K294" s="32">
        <v>0</v>
      </c>
      <c r="L294" s="33">
        <v>18100000</v>
      </c>
      <c r="M294" s="33">
        <v>1800000</v>
      </c>
      <c r="N294" s="33">
        <v>7809</v>
      </c>
      <c r="O294" s="33">
        <v>31500</v>
      </c>
      <c r="P294" s="34">
        <f t="shared" si="16"/>
        <v>0.1016192817679558</v>
      </c>
      <c r="Q294" s="34">
        <f t="shared" si="17"/>
        <v>9.9447513812154692E-2</v>
      </c>
      <c r="R294" s="35" t="str">
        <f t="shared" si="18"/>
        <v/>
      </c>
      <c r="S294" s="32" t="str">
        <f>IF(AND(L294&gt;=INDEX(Succès!$D$10:$D$13,MATCH(A294,Succès!$A$10:$A$13,0)),P294&gt;=INDEX(Succès!$E$10:$E$13,MATCH(A294,Succès!$A$10:$A$13,0))),"Succès complet",IF(P294&gt;=INDEX(Succès!$E$10:$E$13,MATCH(A294,Succès!$A$10:$A$13,0)),"Engagé, portée modeste",IF(L294&gt;=INDEX(Succès!$D$10:$D$13,MATCH(A294,Succès!$A$10:$A$13,0)),"Portée sans engagement","Standard")))</f>
        <v>Succès complet</v>
      </c>
      <c r="T294" s="32">
        <f t="shared" si="19"/>
        <v>1</v>
      </c>
    </row>
    <row r="295" spans="1:20">
      <c r="A295" s="32" t="s">
        <v>46</v>
      </c>
      <c r="B295" s="32" t="s">
        <v>791</v>
      </c>
      <c r="C295" s="32" t="s">
        <v>697</v>
      </c>
      <c r="D295" s="32" t="s">
        <v>698</v>
      </c>
      <c r="E295" s="32" t="s">
        <v>93</v>
      </c>
      <c r="F295" s="32" t="s">
        <v>505</v>
      </c>
      <c r="G295" s="33"/>
      <c r="H295" s="32">
        <v>55</v>
      </c>
      <c r="I295" s="32">
        <v>0</v>
      </c>
      <c r="J295" s="32">
        <v>43</v>
      </c>
      <c r="K295" s="32">
        <v>0</v>
      </c>
      <c r="L295" s="33">
        <v>1900000</v>
      </c>
      <c r="M295" s="33">
        <v>142700</v>
      </c>
      <c r="N295" s="33">
        <v>2254</v>
      </c>
      <c r="O295" s="33">
        <v>1160</v>
      </c>
      <c r="P295" s="34">
        <f t="shared" si="16"/>
        <v>7.6902105263157897E-2</v>
      </c>
      <c r="Q295" s="34">
        <f t="shared" si="17"/>
        <v>7.5105263157894731E-2</v>
      </c>
      <c r="R295" s="35" t="str">
        <f t="shared" si="18"/>
        <v/>
      </c>
      <c r="S295" s="32" t="str">
        <f>IF(AND(L295&gt;=INDEX(Succès!$D$10:$D$13,MATCH(A295,Succès!$A$10:$A$13,0)),P295&gt;=INDEX(Succès!$E$10:$E$13,MATCH(A295,Succès!$A$10:$A$13,0))),"Succès complet",IF(P295&gt;=INDEX(Succès!$E$10:$E$13,MATCH(A295,Succès!$A$10:$A$13,0)),"Engagé, portée modeste",IF(L295&gt;=INDEX(Succès!$D$10:$D$13,MATCH(A295,Succès!$A$10:$A$13,0)),"Portée sans engagement","Standard")))</f>
        <v>Engagé, portée modeste</v>
      </c>
      <c r="T295" s="32">
        <f t="shared" si="19"/>
        <v>0</v>
      </c>
    </row>
    <row r="296" spans="1:20">
      <c r="A296" s="32" t="s">
        <v>46</v>
      </c>
      <c r="B296" s="32" t="s">
        <v>792</v>
      </c>
      <c r="C296" s="32" t="s">
        <v>697</v>
      </c>
      <c r="D296" s="32" t="s">
        <v>698</v>
      </c>
      <c r="E296" s="32" t="s">
        <v>93</v>
      </c>
      <c r="F296" s="32" t="s">
        <v>505</v>
      </c>
      <c r="G296" s="33"/>
      <c r="H296" s="32">
        <v>59</v>
      </c>
      <c r="I296" s="32">
        <v>0</v>
      </c>
      <c r="J296" s="32">
        <v>73</v>
      </c>
      <c r="K296" s="32">
        <v>0</v>
      </c>
      <c r="L296" s="33">
        <v>2000000</v>
      </c>
      <c r="M296" s="33">
        <v>184400</v>
      </c>
      <c r="N296" s="33">
        <v>2891</v>
      </c>
      <c r="O296" s="33">
        <v>1369</v>
      </c>
      <c r="P296" s="34">
        <f t="shared" si="16"/>
        <v>9.4329999999999997E-2</v>
      </c>
      <c r="Q296" s="34">
        <f t="shared" si="17"/>
        <v>9.2200000000000004E-2</v>
      </c>
      <c r="R296" s="35" t="str">
        <f t="shared" si="18"/>
        <v/>
      </c>
      <c r="S296" s="32" t="str">
        <f>IF(AND(L296&gt;=INDEX(Succès!$D$10:$D$13,MATCH(A296,Succès!$A$10:$A$13,0)),P296&gt;=INDEX(Succès!$E$10:$E$13,MATCH(A296,Succès!$A$10:$A$13,0))),"Succès complet",IF(P296&gt;=INDEX(Succès!$E$10:$E$13,MATCH(A296,Succès!$A$10:$A$13,0)),"Engagé, portée modeste",IF(L296&gt;=INDEX(Succès!$D$10:$D$13,MATCH(A296,Succès!$A$10:$A$13,0)),"Portée sans engagement","Standard")))</f>
        <v>Engagé, portée modeste</v>
      </c>
      <c r="T296" s="32">
        <f t="shared" si="19"/>
        <v>0</v>
      </c>
    </row>
    <row r="297" spans="1:20">
      <c r="A297" s="32" t="s">
        <v>46</v>
      </c>
      <c r="B297" s="32" t="s">
        <v>793</v>
      </c>
      <c r="C297" s="32" t="s">
        <v>697</v>
      </c>
      <c r="D297" s="32" t="s">
        <v>698</v>
      </c>
      <c r="E297" s="32" t="s">
        <v>93</v>
      </c>
      <c r="F297" s="32" t="s">
        <v>505</v>
      </c>
      <c r="G297" s="33"/>
      <c r="H297" s="32">
        <v>32</v>
      </c>
      <c r="I297" s="32">
        <v>1</v>
      </c>
      <c r="J297" s="32">
        <v>102</v>
      </c>
      <c r="K297" s="32">
        <v>0</v>
      </c>
      <c r="L297" s="33">
        <v>1900000</v>
      </c>
      <c r="M297" s="33">
        <v>186000</v>
      </c>
      <c r="N297" s="33">
        <v>3102</v>
      </c>
      <c r="O297" s="33">
        <v>1330</v>
      </c>
      <c r="P297" s="34">
        <f t="shared" si="16"/>
        <v>0.10022736842105263</v>
      </c>
      <c r="Q297" s="34">
        <f t="shared" si="17"/>
        <v>9.7894736842105257E-2</v>
      </c>
      <c r="R297" s="35" t="str">
        <f t="shared" si="18"/>
        <v/>
      </c>
      <c r="S297" s="32" t="str">
        <f>IF(AND(L297&gt;=INDEX(Succès!$D$10:$D$13,MATCH(A297,Succès!$A$10:$A$13,0)),P297&gt;=INDEX(Succès!$E$10:$E$13,MATCH(A297,Succès!$A$10:$A$13,0))),"Succès complet",IF(P297&gt;=INDEX(Succès!$E$10:$E$13,MATCH(A297,Succès!$A$10:$A$13,0)),"Engagé, portée modeste",IF(L297&gt;=INDEX(Succès!$D$10:$D$13,MATCH(A297,Succès!$A$10:$A$13,0)),"Portée sans engagement","Standard")))</f>
        <v>Engagé, portée modeste</v>
      </c>
      <c r="T297" s="32">
        <f t="shared" si="19"/>
        <v>0</v>
      </c>
    </row>
    <row r="298" spans="1:20">
      <c r="A298" s="32" t="s">
        <v>46</v>
      </c>
      <c r="B298" s="32" t="s">
        <v>794</v>
      </c>
      <c r="C298" s="32" t="s">
        <v>697</v>
      </c>
      <c r="D298" s="32" t="s">
        <v>698</v>
      </c>
      <c r="E298" s="32" t="s">
        <v>93</v>
      </c>
      <c r="F298" s="32" t="s">
        <v>505</v>
      </c>
      <c r="G298" s="33"/>
      <c r="H298" s="32">
        <v>58</v>
      </c>
      <c r="I298" s="32">
        <v>1</v>
      </c>
      <c r="J298" s="32">
        <v>59</v>
      </c>
      <c r="K298" s="32">
        <v>0</v>
      </c>
      <c r="L298" s="33">
        <v>1700000</v>
      </c>
      <c r="M298" s="33">
        <v>146300</v>
      </c>
      <c r="N298" s="33">
        <v>1779</v>
      </c>
      <c r="O298" s="33">
        <v>908</v>
      </c>
      <c r="P298" s="34">
        <f t="shared" si="16"/>
        <v>8.7639411764705882E-2</v>
      </c>
      <c r="Q298" s="34">
        <f t="shared" si="17"/>
        <v>8.6058823529411771E-2</v>
      </c>
      <c r="R298" s="35" t="str">
        <f t="shared" si="18"/>
        <v/>
      </c>
      <c r="S298" s="32" t="str">
        <f>IF(AND(L298&gt;=INDEX(Succès!$D$10:$D$13,MATCH(A298,Succès!$A$10:$A$13,0)),P298&gt;=INDEX(Succès!$E$10:$E$13,MATCH(A298,Succès!$A$10:$A$13,0))),"Succès complet",IF(P298&gt;=INDEX(Succès!$E$10:$E$13,MATCH(A298,Succès!$A$10:$A$13,0)),"Engagé, portée modeste",IF(L298&gt;=INDEX(Succès!$D$10:$D$13,MATCH(A298,Succès!$A$10:$A$13,0)),"Portée sans engagement","Standard")))</f>
        <v>Engagé, portée modeste</v>
      </c>
      <c r="T298" s="32">
        <f t="shared" si="19"/>
        <v>0</v>
      </c>
    </row>
    <row r="299" spans="1:20">
      <c r="A299" s="32" t="s">
        <v>46</v>
      </c>
      <c r="B299" s="32" t="s">
        <v>795</v>
      </c>
      <c r="C299" s="32" t="s">
        <v>697</v>
      </c>
      <c r="D299" s="32" t="s">
        <v>698</v>
      </c>
      <c r="E299" s="32" t="s">
        <v>93</v>
      </c>
      <c r="F299" s="32" t="s">
        <v>505</v>
      </c>
      <c r="G299" s="33"/>
      <c r="H299" s="32">
        <v>59</v>
      </c>
      <c r="I299" s="32">
        <v>1</v>
      </c>
      <c r="J299" s="32">
        <v>73</v>
      </c>
      <c r="K299" s="32">
        <v>0</v>
      </c>
      <c r="L299" s="33">
        <v>1600000</v>
      </c>
      <c r="M299" s="33">
        <v>174700</v>
      </c>
      <c r="N299" s="33">
        <v>1820</v>
      </c>
      <c r="O299" s="33">
        <v>884</v>
      </c>
      <c r="P299" s="34">
        <f t="shared" si="16"/>
        <v>0.1108775</v>
      </c>
      <c r="Q299" s="34">
        <f t="shared" si="17"/>
        <v>0.10918750000000001</v>
      </c>
      <c r="R299" s="35" t="str">
        <f t="shared" si="18"/>
        <v/>
      </c>
      <c r="S299" s="32" t="str">
        <f>IF(AND(L299&gt;=INDEX(Succès!$D$10:$D$13,MATCH(A299,Succès!$A$10:$A$13,0)),P299&gt;=INDEX(Succès!$E$10:$E$13,MATCH(A299,Succès!$A$10:$A$13,0))),"Succès complet",IF(P299&gt;=INDEX(Succès!$E$10:$E$13,MATCH(A299,Succès!$A$10:$A$13,0)),"Engagé, portée modeste",IF(L299&gt;=INDEX(Succès!$D$10:$D$13,MATCH(A299,Succès!$A$10:$A$13,0)),"Portée sans engagement","Standard")))</f>
        <v>Engagé, portée modeste</v>
      </c>
      <c r="T299" s="32">
        <f t="shared" si="19"/>
        <v>0</v>
      </c>
    </row>
    <row r="300" spans="1:20">
      <c r="A300" s="32" t="s">
        <v>46</v>
      </c>
      <c r="B300" s="32" t="s">
        <v>796</v>
      </c>
      <c r="C300" s="32" t="s">
        <v>697</v>
      </c>
      <c r="D300" s="32" t="s">
        <v>698</v>
      </c>
      <c r="E300" s="32" t="s">
        <v>93</v>
      </c>
      <c r="F300" s="32" t="s">
        <v>505</v>
      </c>
      <c r="G300" s="33"/>
      <c r="H300" s="32">
        <v>14</v>
      </c>
      <c r="I300" s="32">
        <v>1</v>
      </c>
      <c r="J300" s="32">
        <v>58</v>
      </c>
      <c r="K300" s="32">
        <v>0</v>
      </c>
      <c r="L300" s="33">
        <v>2400000</v>
      </c>
      <c r="M300" s="33">
        <v>250000</v>
      </c>
      <c r="N300" s="33">
        <v>3407</v>
      </c>
      <c r="O300" s="33">
        <v>2860</v>
      </c>
      <c r="P300" s="34">
        <f t="shared" si="16"/>
        <v>0.10677791666666667</v>
      </c>
      <c r="Q300" s="34">
        <f t="shared" si="17"/>
        <v>0.10416666666666667</v>
      </c>
      <c r="R300" s="35" t="str">
        <f t="shared" si="18"/>
        <v/>
      </c>
      <c r="S300" s="32" t="str">
        <f>IF(AND(L300&gt;=INDEX(Succès!$D$10:$D$13,MATCH(A300,Succès!$A$10:$A$13,0)),P300&gt;=INDEX(Succès!$E$10:$E$13,MATCH(A300,Succès!$A$10:$A$13,0))),"Succès complet",IF(P300&gt;=INDEX(Succès!$E$10:$E$13,MATCH(A300,Succès!$A$10:$A$13,0)),"Engagé, portée modeste",IF(L300&gt;=INDEX(Succès!$D$10:$D$13,MATCH(A300,Succès!$A$10:$A$13,0)),"Portée sans engagement","Standard")))</f>
        <v>Engagé, portée modeste</v>
      </c>
      <c r="T300" s="32">
        <f t="shared" si="19"/>
        <v>0</v>
      </c>
    </row>
    <row r="301" spans="1:20">
      <c r="A301" s="32" t="s">
        <v>46</v>
      </c>
      <c r="B301" s="32" t="s">
        <v>797</v>
      </c>
      <c r="C301" s="32" t="s">
        <v>697</v>
      </c>
      <c r="D301" s="32" t="s">
        <v>698</v>
      </c>
      <c r="E301" s="32" t="s">
        <v>93</v>
      </c>
      <c r="F301" s="32" t="s">
        <v>505</v>
      </c>
      <c r="G301" s="33"/>
      <c r="H301" s="32">
        <v>25</v>
      </c>
      <c r="I301" s="32">
        <v>1</v>
      </c>
      <c r="J301" s="32">
        <v>77</v>
      </c>
      <c r="K301" s="32">
        <v>0</v>
      </c>
      <c r="L301" s="33">
        <v>1800000</v>
      </c>
      <c r="M301" s="33">
        <v>149500</v>
      </c>
      <c r="N301" s="33">
        <v>3100</v>
      </c>
      <c r="O301" s="33">
        <v>1832</v>
      </c>
      <c r="P301" s="34">
        <f t="shared" si="16"/>
        <v>8.5795555555555555E-2</v>
      </c>
      <c r="Q301" s="34">
        <f t="shared" si="17"/>
        <v>8.3055555555555549E-2</v>
      </c>
      <c r="R301" s="35" t="str">
        <f t="shared" si="18"/>
        <v/>
      </c>
      <c r="S301" s="32" t="str">
        <f>IF(AND(L301&gt;=INDEX(Succès!$D$10:$D$13,MATCH(A301,Succès!$A$10:$A$13,0)),P301&gt;=INDEX(Succès!$E$10:$E$13,MATCH(A301,Succès!$A$10:$A$13,0))),"Succès complet",IF(P301&gt;=INDEX(Succès!$E$10:$E$13,MATCH(A301,Succès!$A$10:$A$13,0)),"Engagé, portée modeste",IF(L301&gt;=INDEX(Succès!$D$10:$D$13,MATCH(A301,Succès!$A$10:$A$13,0)),"Portée sans engagement","Standard")))</f>
        <v>Engagé, portée modeste</v>
      </c>
      <c r="T301" s="32">
        <f t="shared" si="19"/>
        <v>0</v>
      </c>
    </row>
    <row r="302" spans="1:20">
      <c r="A302" s="32" t="s">
        <v>49</v>
      </c>
      <c r="B302" s="32" t="s">
        <v>798</v>
      </c>
      <c r="C302" s="32" t="s">
        <v>799</v>
      </c>
      <c r="D302" s="32"/>
      <c r="E302" s="32" t="s">
        <v>93</v>
      </c>
      <c r="F302" s="32" t="s">
        <v>346</v>
      </c>
      <c r="G302" s="33">
        <v>3100000</v>
      </c>
      <c r="H302" s="32">
        <v>13</v>
      </c>
      <c r="I302" s="32">
        <v>6</v>
      </c>
      <c r="J302" s="32">
        <v>63</v>
      </c>
      <c r="K302" s="32">
        <v>1</v>
      </c>
      <c r="L302" s="33">
        <v>280900000</v>
      </c>
      <c r="M302" s="33">
        <v>35600000</v>
      </c>
      <c r="N302" s="33">
        <v>475900</v>
      </c>
      <c r="O302" s="33">
        <v>2700000</v>
      </c>
      <c r="P302" s="34">
        <f t="shared" si="16"/>
        <v>0.13804165183339268</v>
      </c>
      <c r="Q302" s="34">
        <f t="shared" si="17"/>
        <v>0.12673549305802778</v>
      </c>
      <c r="R302" s="35">
        <f t="shared" si="18"/>
        <v>90.612903225806448</v>
      </c>
      <c r="S302" s="32" t="str">
        <f>IF(AND(L302&gt;=INDEX(Succès!$D$10:$D$13,MATCH(A302,Succès!$A$10:$A$13,0)),P302&gt;=INDEX(Succès!$E$10:$E$13,MATCH(A302,Succès!$A$10:$A$13,0))),"Succès complet",IF(P302&gt;=INDEX(Succès!$E$10:$E$13,MATCH(A302,Succès!$A$10:$A$13,0)),"Engagé, portée modeste",IF(L302&gt;=INDEX(Succès!$D$10:$D$13,MATCH(A302,Succès!$A$10:$A$13,0)),"Portée sans engagement","Standard")))</f>
        <v>Portée sans engagement</v>
      </c>
      <c r="T302" s="32">
        <f t="shared" si="19"/>
        <v>0</v>
      </c>
    </row>
    <row r="303" spans="1:20">
      <c r="A303" s="32" t="s">
        <v>49</v>
      </c>
      <c r="B303" s="32" t="s">
        <v>800</v>
      </c>
      <c r="C303" s="32" t="s">
        <v>801</v>
      </c>
      <c r="D303" s="32"/>
      <c r="E303" s="32" t="s">
        <v>93</v>
      </c>
      <c r="F303" s="32" t="s">
        <v>346</v>
      </c>
      <c r="G303" s="33">
        <v>4200000</v>
      </c>
      <c r="H303" s="32">
        <v>7</v>
      </c>
      <c r="I303" s="32">
        <v>13</v>
      </c>
      <c r="J303" s="32">
        <v>95</v>
      </c>
      <c r="K303" s="32">
        <v>1</v>
      </c>
      <c r="L303" s="33">
        <v>197700000</v>
      </c>
      <c r="M303" s="33">
        <v>18800000</v>
      </c>
      <c r="N303" s="33">
        <v>236500</v>
      </c>
      <c r="O303" s="33">
        <v>1200000</v>
      </c>
      <c r="P303" s="34">
        <f t="shared" si="16"/>
        <v>0.10235963581183612</v>
      </c>
      <c r="Q303" s="34">
        <f t="shared" si="17"/>
        <v>9.5093576125442586E-2</v>
      </c>
      <c r="R303" s="35">
        <f t="shared" si="18"/>
        <v>47.071428571428569</v>
      </c>
      <c r="S303" s="32" t="str">
        <f>IF(AND(L303&gt;=INDEX(Succès!$D$10:$D$13,MATCH(A303,Succès!$A$10:$A$13,0)),P303&gt;=INDEX(Succès!$E$10:$E$13,MATCH(A303,Succès!$A$10:$A$13,0))),"Succès complet",IF(P303&gt;=INDEX(Succès!$E$10:$E$13,MATCH(A303,Succès!$A$10:$A$13,0)),"Engagé, portée modeste",IF(L303&gt;=INDEX(Succès!$D$10:$D$13,MATCH(A303,Succès!$A$10:$A$13,0)),"Portée sans engagement","Standard")))</f>
        <v>Portée sans engagement</v>
      </c>
      <c r="T303" s="32">
        <f t="shared" si="19"/>
        <v>0</v>
      </c>
    </row>
    <row r="304" spans="1:20">
      <c r="A304" s="32" t="s">
        <v>49</v>
      </c>
      <c r="B304" s="32" t="s">
        <v>802</v>
      </c>
      <c r="C304" s="32" t="s">
        <v>803</v>
      </c>
      <c r="D304" s="32"/>
      <c r="E304" s="32" t="s">
        <v>93</v>
      </c>
      <c r="F304" s="32" t="s">
        <v>341</v>
      </c>
      <c r="G304" s="33">
        <v>7900000</v>
      </c>
      <c r="H304" s="32">
        <v>14</v>
      </c>
      <c r="I304" s="32">
        <v>10</v>
      </c>
      <c r="J304" s="32">
        <v>143</v>
      </c>
      <c r="K304" s="32">
        <v>1</v>
      </c>
      <c r="L304" s="33">
        <v>144300000</v>
      </c>
      <c r="M304" s="33">
        <v>18500000</v>
      </c>
      <c r="N304" s="33">
        <v>222000</v>
      </c>
      <c r="O304" s="33">
        <v>421400</v>
      </c>
      <c r="P304" s="34">
        <f t="shared" si="16"/>
        <v>0.13266389466389467</v>
      </c>
      <c r="Q304" s="34">
        <f t="shared" si="17"/>
        <v>0.12820512820512819</v>
      </c>
      <c r="R304" s="35">
        <f t="shared" si="18"/>
        <v>18.265822784810126</v>
      </c>
      <c r="S304" s="32" t="str">
        <f>IF(AND(L304&gt;=INDEX(Succès!$D$10:$D$13,MATCH(A304,Succès!$A$10:$A$13,0)),P304&gt;=INDEX(Succès!$E$10:$E$13,MATCH(A304,Succès!$A$10:$A$13,0))),"Succès complet",IF(P304&gt;=INDEX(Succès!$E$10:$E$13,MATCH(A304,Succès!$A$10:$A$13,0)),"Engagé, portée modeste",IF(L304&gt;=INDEX(Succès!$D$10:$D$13,MATCH(A304,Succès!$A$10:$A$13,0)),"Portée sans engagement","Standard")))</f>
        <v>Portée sans engagement</v>
      </c>
      <c r="T304" s="32">
        <f t="shared" si="19"/>
        <v>0</v>
      </c>
    </row>
    <row r="305" spans="1:20">
      <c r="A305" s="32" t="s">
        <v>49</v>
      </c>
      <c r="B305" s="32" t="s">
        <v>804</v>
      </c>
      <c r="C305" s="32" t="s">
        <v>805</v>
      </c>
      <c r="D305" s="32"/>
      <c r="E305" s="32" t="s">
        <v>93</v>
      </c>
      <c r="F305" s="32" t="s">
        <v>346</v>
      </c>
      <c r="G305" s="33">
        <v>1400000</v>
      </c>
      <c r="H305" s="32">
        <v>10</v>
      </c>
      <c r="I305" s="32">
        <v>7</v>
      </c>
      <c r="J305" s="32">
        <v>93</v>
      </c>
      <c r="K305" s="32">
        <v>1</v>
      </c>
      <c r="L305" s="33">
        <v>98500000</v>
      </c>
      <c r="M305" s="33">
        <v>18400000</v>
      </c>
      <c r="N305" s="33">
        <v>157000</v>
      </c>
      <c r="O305" s="33">
        <v>383600</v>
      </c>
      <c r="P305" s="34">
        <f t="shared" si="16"/>
        <v>0.19229035532994923</v>
      </c>
      <c r="Q305" s="34">
        <f t="shared" si="17"/>
        <v>0.18680203045685279</v>
      </c>
      <c r="R305" s="35">
        <f t="shared" si="18"/>
        <v>70.357142857142861</v>
      </c>
      <c r="S305" s="32" t="str">
        <f>IF(AND(L305&gt;=INDEX(Succès!$D$10:$D$13,MATCH(A305,Succès!$A$10:$A$13,0)),P305&gt;=INDEX(Succès!$E$10:$E$13,MATCH(A305,Succès!$A$10:$A$13,0))),"Succès complet",IF(P305&gt;=INDEX(Succès!$E$10:$E$13,MATCH(A305,Succès!$A$10:$A$13,0)),"Engagé, portée modeste",IF(L305&gt;=INDEX(Succès!$D$10:$D$13,MATCH(A305,Succès!$A$10:$A$13,0)),"Portée sans engagement","Standard")))</f>
        <v>Succès complet</v>
      </c>
      <c r="T305" s="32">
        <f t="shared" si="19"/>
        <v>1</v>
      </c>
    </row>
    <row r="306" spans="1:20">
      <c r="A306" s="32" t="s">
        <v>49</v>
      </c>
      <c r="B306" s="32" t="s">
        <v>806</v>
      </c>
      <c r="C306" s="32" t="s">
        <v>807</v>
      </c>
      <c r="D306" s="32"/>
      <c r="E306" s="32" t="s">
        <v>93</v>
      </c>
      <c r="F306" s="32" t="s">
        <v>341</v>
      </c>
      <c r="G306" s="33">
        <v>27400000</v>
      </c>
      <c r="H306" s="32">
        <v>10</v>
      </c>
      <c r="I306" s="32">
        <v>8</v>
      </c>
      <c r="J306" s="32">
        <v>60</v>
      </c>
      <c r="K306" s="32">
        <v>1</v>
      </c>
      <c r="L306" s="33">
        <v>141800000</v>
      </c>
      <c r="M306" s="33">
        <v>16000000</v>
      </c>
      <c r="N306" s="33">
        <v>163800</v>
      </c>
      <c r="O306" s="33">
        <v>152600</v>
      </c>
      <c r="P306" s="34">
        <f t="shared" si="16"/>
        <v>0.11506629055007052</v>
      </c>
      <c r="Q306" s="34">
        <f t="shared" si="17"/>
        <v>0.11283497884344147</v>
      </c>
      <c r="R306" s="35">
        <f t="shared" si="18"/>
        <v>5.1751824817518246</v>
      </c>
      <c r="S306" s="32" t="str">
        <f>IF(AND(L306&gt;=INDEX(Succès!$D$10:$D$13,MATCH(A306,Succès!$A$10:$A$13,0)),P306&gt;=INDEX(Succès!$E$10:$E$13,MATCH(A306,Succès!$A$10:$A$13,0))),"Succès complet",IF(P306&gt;=INDEX(Succès!$E$10:$E$13,MATCH(A306,Succès!$A$10:$A$13,0)),"Engagé, portée modeste",IF(L306&gt;=INDEX(Succès!$D$10:$D$13,MATCH(A306,Succès!$A$10:$A$13,0)),"Portée sans engagement","Standard")))</f>
        <v>Portée sans engagement</v>
      </c>
      <c r="T306" s="32">
        <f t="shared" si="19"/>
        <v>0</v>
      </c>
    </row>
    <row r="307" spans="1:20">
      <c r="A307" s="32" t="s">
        <v>49</v>
      </c>
      <c r="B307" s="32" t="s">
        <v>808</v>
      </c>
      <c r="C307" s="32" t="s">
        <v>809</v>
      </c>
      <c r="D307" s="32"/>
      <c r="E307" s="32" t="s">
        <v>93</v>
      </c>
      <c r="F307" s="32" t="s">
        <v>346</v>
      </c>
      <c r="G307" s="33">
        <v>1300000</v>
      </c>
      <c r="H307" s="32">
        <v>11</v>
      </c>
      <c r="I307" s="32">
        <v>5</v>
      </c>
      <c r="J307" s="32">
        <v>29</v>
      </c>
      <c r="K307" s="32">
        <v>1</v>
      </c>
      <c r="L307" s="33">
        <v>73600000</v>
      </c>
      <c r="M307" s="33">
        <v>15000000</v>
      </c>
      <c r="N307" s="33">
        <v>164900</v>
      </c>
      <c r="O307" s="33">
        <v>197300</v>
      </c>
      <c r="P307" s="34">
        <f t="shared" si="16"/>
        <v>0.20872554347826086</v>
      </c>
      <c r="Q307" s="34">
        <f t="shared" si="17"/>
        <v>0.20380434782608695</v>
      </c>
      <c r="R307" s="35">
        <f t="shared" si="18"/>
        <v>56.615384615384613</v>
      </c>
      <c r="S307" s="32" t="str">
        <f>IF(AND(L307&gt;=INDEX(Succès!$D$10:$D$13,MATCH(A307,Succès!$A$10:$A$13,0)),P307&gt;=INDEX(Succès!$E$10:$E$13,MATCH(A307,Succès!$A$10:$A$13,0))),"Succès complet",IF(P307&gt;=INDEX(Succès!$E$10:$E$13,MATCH(A307,Succès!$A$10:$A$13,0)),"Engagé, portée modeste",IF(L307&gt;=INDEX(Succès!$D$10:$D$13,MATCH(A307,Succès!$A$10:$A$13,0)),"Portée sans engagement","Standard")))</f>
        <v>Succès complet</v>
      </c>
      <c r="T307" s="32">
        <f t="shared" si="19"/>
        <v>1</v>
      </c>
    </row>
    <row r="308" spans="1:20">
      <c r="A308" s="32" t="s">
        <v>49</v>
      </c>
      <c r="B308" s="32" t="s">
        <v>810</v>
      </c>
      <c r="C308" s="32" t="s">
        <v>811</v>
      </c>
      <c r="D308" s="32"/>
      <c r="E308" s="32" t="s">
        <v>93</v>
      </c>
      <c r="F308" s="32" t="s">
        <v>346</v>
      </c>
      <c r="G308" s="33">
        <v>946600</v>
      </c>
      <c r="H308" s="32">
        <v>12</v>
      </c>
      <c r="I308" s="32">
        <v>1</v>
      </c>
      <c r="J308" s="32">
        <v>20</v>
      </c>
      <c r="K308" s="32">
        <v>0</v>
      </c>
      <c r="L308" s="33">
        <v>110500000</v>
      </c>
      <c r="M308" s="33">
        <v>14100000</v>
      </c>
      <c r="N308" s="33">
        <v>49200</v>
      </c>
      <c r="O308" s="33">
        <v>128700</v>
      </c>
      <c r="P308" s="34">
        <f t="shared" si="16"/>
        <v>0.12921176470588236</v>
      </c>
      <c r="Q308" s="34">
        <f t="shared" si="17"/>
        <v>0.12760180995475112</v>
      </c>
      <c r="R308" s="35">
        <f t="shared" si="18"/>
        <v>116.73357278681597</v>
      </c>
      <c r="S308" s="32" t="str">
        <f>IF(AND(L308&gt;=INDEX(Succès!$D$10:$D$13,MATCH(A308,Succès!$A$10:$A$13,0)),P308&gt;=INDEX(Succès!$E$10:$E$13,MATCH(A308,Succès!$A$10:$A$13,0))),"Succès complet",IF(P308&gt;=INDEX(Succès!$E$10:$E$13,MATCH(A308,Succès!$A$10:$A$13,0)),"Engagé, portée modeste",IF(L308&gt;=INDEX(Succès!$D$10:$D$13,MATCH(A308,Succès!$A$10:$A$13,0)),"Portée sans engagement","Standard")))</f>
        <v>Portée sans engagement</v>
      </c>
      <c r="T308" s="32">
        <f t="shared" si="19"/>
        <v>0</v>
      </c>
    </row>
    <row r="309" spans="1:20">
      <c r="A309" s="32" t="s">
        <v>49</v>
      </c>
      <c r="B309" s="32" t="s">
        <v>812</v>
      </c>
      <c r="C309" s="32" t="s">
        <v>801</v>
      </c>
      <c r="D309" s="32"/>
      <c r="E309" s="32" t="s">
        <v>93</v>
      </c>
      <c r="F309" s="32" t="s">
        <v>346</v>
      </c>
      <c r="G309" s="33">
        <v>4200000</v>
      </c>
      <c r="H309" s="32">
        <v>7</v>
      </c>
      <c r="I309" s="32">
        <v>13</v>
      </c>
      <c r="J309" s="32">
        <v>95</v>
      </c>
      <c r="K309" s="32">
        <v>1</v>
      </c>
      <c r="L309" s="33">
        <v>112400000</v>
      </c>
      <c r="M309" s="33">
        <v>14100000</v>
      </c>
      <c r="N309" s="33">
        <v>180200</v>
      </c>
      <c r="O309" s="33">
        <v>601600</v>
      </c>
      <c r="P309" s="34">
        <f t="shared" si="16"/>
        <v>0.13240035587188612</v>
      </c>
      <c r="Q309" s="34">
        <f t="shared" si="17"/>
        <v>0.12544483985765126</v>
      </c>
      <c r="R309" s="35">
        <f t="shared" si="18"/>
        <v>26.761904761904763</v>
      </c>
      <c r="S309" s="32" t="str">
        <f>IF(AND(L309&gt;=INDEX(Succès!$D$10:$D$13,MATCH(A309,Succès!$A$10:$A$13,0)),P309&gt;=INDEX(Succès!$E$10:$E$13,MATCH(A309,Succès!$A$10:$A$13,0))),"Succès complet",IF(P309&gt;=INDEX(Succès!$E$10:$E$13,MATCH(A309,Succès!$A$10:$A$13,0)),"Engagé, portée modeste",IF(L309&gt;=INDEX(Succès!$D$10:$D$13,MATCH(A309,Succès!$A$10:$A$13,0)),"Portée sans engagement","Standard")))</f>
        <v>Portée sans engagement</v>
      </c>
      <c r="T309" s="32">
        <f t="shared" si="19"/>
        <v>0</v>
      </c>
    </row>
    <row r="310" spans="1:20">
      <c r="A310" s="32" t="s">
        <v>49</v>
      </c>
      <c r="B310" s="32" t="s">
        <v>813</v>
      </c>
      <c r="C310" s="32" t="s">
        <v>814</v>
      </c>
      <c r="D310" s="32"/>
      <c r="E310" s="32" t="s">
        <v>93</v>
      </c>
      <c r="F310" s="32" t="s">
        <v>346</v>
      </c>
      <c r="G310" s="33">
        <v>2700000</v>
      </c>
      <c r="H310" s="32">
        <v>6</v>
      </c>
      <c r="I310" s="32">
        <v>3</v>
      </c>
      <c r="J310" s="32">
        <v>35</v>
      </c>
      <c r="K310" s="32">
        <v>0</v>
      </c>
      <c r="L310" s="33">
        <v>108100000</v>
      </c>
      <c r="M310" s="33">
        <v>14000000</v>
      </c>
      <c r="N310" s="33">
        <v>190300</v>
      </c>
      <c r="O310" s="33">
        <v>1300000</v>
      </c>
      <c r="P310" s="34">
        <f t="shared" si="16"/>
        <v>0.14329602220166512</v>
      </c>
      <c r="Q310" s="34">
        <f t="shared" si="17"/>
        <v>0.12950971322849214</v>
      </c>
      <c r="R310" s="35">
        <f t="shared" si="18"/>
        <v>40.037037037037038</v>
      </c>
      <c r="S310" s="32" t="str">
        <f>IF(AND(L310&gt;=INDEX(Succès!$D$10:$D$13,MATCH(A310,Succès!$A$10:$A$13,0)),P310&gt;=INDEX(Succès!$E$10:$E$13,MATCH(A310,Succès!$A$10:$A$13,0))),"Succès complet",IF(P310&gt;=INDEX(Succès!$E$10:$E$13,MATCH(A310,Succès!$A$10:$A$13,0)),"Engagé, portée modeste",IF(L310&gt;=INDEX(Succès!$D$10:$D$13,MATCH(A310,Succès!$A$10:$A$13,0)),"Portée sans engagement","Standard")))</f>
        <v>Portée sans engagement</v>
      </c>
      <c r="T310" s="32">
        <f t="shared" si="19"/>
        <v>0</v>
      </c>
    </row>
    <row r="311" spans="1:20">
      <c r="A311" s="32" t="s">
        <v>49</v>
      </c>
      <c r="B311" s="32" t="s">
        <v>815</v>
      </c>
      <c r="C311" s="32" t="s">
        <v>807</v>
      </c>
      <c r="D311" s="32"/>
      <c r="E311" s="32" t="s">
        <v>93</v>
      </c>
      <c r="F311" s="32" t="s">
        <v>341</v>
      </c>
      <c r="G311" s="33">
        <v>27400000</v>
      </c>
      <c r="H311" s="32">
        <v>18</v>
      </c>
      <c r="I311" s="32">
        <v>7</v>
      </c>
      <c r="J311" s="32">
        <v>68</v>
      </c>
      <c r="K311" s="32">
        <v>1</v>
      </c>
      <c r="L311" s="33">
        <v>154900000</v>
      </c>
      <c r="M311" s="33">
        <v>13800000</v>
      </c>
      <c r="N311" s="33">
        <v>76100</v>
      </c>
      <c r="O311" s="33">
        <v>60100</v>
      </c>
      <c r="P311" s="34">
        <f t="shared" si="16"/>
        <v>8.9969012265978046E-2</v>
      </c>
      <c r="Q311" s="34">
        <f t="shared" si="17"/>
        <v>8.9089735313105226E-2</v>
      </c>
      <c r="R311" s="35">
        <f t="shared" si="18"/>
        <v>5.6532846715328464</v>
      </c>
      <c r="S311" s="32" t="str">
        <f>IF(AND(L311&gt;=INDEX(Succès!$D$10:$D$13,MATCH(A311,Succès!$A$10:$A$13,0)),P311&gt;=INDEX(Succès!$E$10:$E$13,MATCH(A311,Succès!$A$10:$A$13,0))),"Succès complet",IF(P311&gt;=INDEX(Succès!$E$10:$E$13,MATCH(A311,Succès!$A$10:$A$13,0)),"Engagé, portée modeste",IF(L311&gt;=INDEX(Succès!$D$10:$D$13,MATCH(A311,Succès!$A$10:$A$13,0)),"Portée sans engagement","Standard")))</f>
        <v>Portée sans engagement</v>
      </c>
      <c r="T311" s="32">
        <f t="shared" si="19"/>
        <v>0</v>
      </c>
    </row>
    <row r="312" spans="1:20">
      <c r="A312" s="32" t="s">
        <v>49</v>
      </c>
      <c r="B312" s="32" t="s">
        <v>816</v>
      </c>
      <c r="C312" s="32" t="s">
        <v>274</v>
      </c>
      <c r="D312" s="32" t="s">
        <v>272</v>
      </c>
      <c r="E312" s="32" t="s">
        <v>93</v>
      </c>
      <c r="F312" s="32" t="s">
        <v>346</v>
      </c>
      <c r="G312" s="33">
        <v>168400</v>
      </c>
      <c r="H312" s="32">
        <v>10</v>
      </c>
      <c r="I312" s="32">
        <v>12</v>
      </c>
      <c r="J312" s="32">
        <v>146</v>
      </c>
      <c r="K312" s="32">
        <v>1</v>
      </c>
      <c r="L312" s="33">
        <v>59400000</v>
      </c>
      <c r="M312" s="33">
        <v>12500000</v>
      </c>
      <c r="N312" s="33">
        <v>364600</v>
      </c>
      <c r="O312" s="33">
        <v>1000000</v>
      </c>
      <c r="P312" s="34">
        <f t="shared" si="16"/>
        <v>0.2334107744107744</v>
      </c>
      <c r="Q312" s="34">
        <f t="shared" si="17"/>
        <v>0.21043771043771045</v>
      </c>
      <c r="R312" s="35">
        <f t="shared" si="18"/>
        <v>352.73159144893111</v>
      </c>
      <c r="S312" s="32" t="str">
        <f>IF(AND(L312&gt;=INDEX(Succès!$D$10:$D$13,MATCH(A312,Succès!$A$10:$A$13,0)),P312&gt;=INDEX(Succès!$E$10:$E$13,MATCH(A312,Succès!$A$10:$A$13,0))),"Succès complet",IF(P312&gt;=INDEX(Succès!$E$10:$E$13,MATCH(A312,Succès!$A$10:$A$13,0)),"Engagé, portée modeste",IF(L312&gt;=INDEX(Succès!$D$10:$D$13,MATCH(A312,Succès!$A$10:$A$13,0)),"Portée sans engagement","Standard")))</f>
        <v>Succès complet</v>
      </c>
      <c r="T312" s="32">
        <f t="shared" si="19"/>
        <v>1</v>
      </c>
    </row>
    <row r="313" spans="1:20">
      <c r="A313" s="32" t="s">
        <v>49</v>
      </c>
      <c r="B313" s="32" t="s">
        <v>817</v>
      </c>
      <c r="C313" s="32" t="s">
        <v>803</v>
      </c>
      <c r="D313" s="32"/>
      <c r="E313" s="32" t="s">
        <v>93</v>
      </c>
      <c r="F313" s="32" t="s">
        <v>341</v>
      </c>
      <c r="G313" s="33">
        <v>7900000</v>
      </c>
      <c r="H313" s="32">
        <v>18</v>
      </c>
      <c r="I313" s="32">
        <v>10</v>
      </c>
      <c r="J313" s="32">
        <v>93</v>
      </c>
      <c r="K313" s="32">
        <v>1</v>
      </c>
      <c r="L313" s="33">
        <v>126600000</v>
      </c>
      <c r="M313" s="33">
        <v>12000000</v>
      </c>
      <c r="N313" s="33">
        <v>60100</v>
      </c>
      <c r="O313" s="33">
        <v>701300</v>
      </c>
      <c r="P313" s="34">
        <f t="shared" si="16"/>
        <v>0.10080094786729858</v>
      </c>
      <c r="Q313" s="34">
        <f t="shared" si="17"/>
        <v>9.4786729857819899E-2</v>
      </c>
      <c r="R313" s="35">
        <f t="shared" si="18"/>
        <v>16.025316455696203</v>
      </c>
      <c r="S313" s="32" t="str">
        <f>IF(AND(L313&gt;=INDEX(Succès!$D$10:$D$13,MATCH(A313,Succès!$A$10:$A$13,0)),P313&gt;=INDEX(Succès!$E$10:$E$13,MATCH(A313,Succès!$A$10:$A$13,0))),"Succès complet",IF(P313&gt;=INDEX(Succès!$E$10:$E$13,MATCH(A313,Succès!$A$10:$A$13,0)),"Engagé, portée modeste",IF(L313&gt;=INDEX(Succès!$D$10:$D$13,MATCH(A313,Succès!$A$10:$A$13,0)),"Portée sans engagement","Standard")))</f>
        <v>Portée sans engagement</v>
      </c>
      <c r="T313" s="32">
        <f t="shared" si="19"/>
        <v>0</v>
      </c>
    </row>
    <row r="314" spans="1:20">
      <c r="A314" s="32" t="s">
        <v>49</v>
      </c>
      <c r="B314" s="32" t="s">
        <v>818</v>
      </c>
      <c r="C314" s="32" t="s">
        <v>819</v>
      </c>
      <c r="D314" s="32"/>
      <c r="E314" s="32" t="s">
        <v>93</v>
      </c>
      <c r="F314" s="32" t="s">
        <v>346</v>
      </c>
      <c r="G314" s="33">
        <v>2100000</v>
      </c>
      <c r="H314" s="32">
        <v>57</v>
      </c>
      <c r="I314" s="32">
        <v>7</v>
      </c>
      <c r="J314" s="32">
        <v>113</v>
      </c>
      <c r="K314" s="32">
        <v>0</v>
      </c>
      <c r="L314" s="33">
        <v>62400000</v>
      </c>
      <c r="M314" s="33">
        <v>11900000</v>
      </c>
      <c r="N314" s="33">
        <v>89600</v>
      </c>
      <c r="O314" s="33">
        <v>203800</v>
      </c>
      <c r="P314" s="34">
        <f t="shared" si="16"/>
        <v>0.19540705128205127</v>
      </c>
      <c r="Q314" s="34">
        <f t="shared" si="17"/>
        <v>0.19070512820512819</v>
      </c>
      <c r="R314" s="35">
        <f t="shared" si="18"/>
        <v>29.714285714285715</v>
      </c>
      <c r="S314" s="32" t="str">
        <f>IF(AND(L314&gt;=INDEX(Succès!$D$10:$D$13,MATCH(A314,Succès!$A$10:$A$13,0)),P314&gt;=INDEX(Succès!$E$10:$E$13,MATCH(A314,Succès!$A$10:$A$13,0))),"Succès complet",IF(P314&gt;=INDEX(Succès!$E$10:$E$13,MATCH(A314,Succès!$A$10:$A$13,0)),"Engagé, portée modeste",IF(L314&gt;=INDEX(Succès!$D$10:$D$13,MATCH(A314,Succès!$A$10:$A$13,0)),"Portée sans engagement","Standard")))</f>
        <v>Succès complet</v>
      </c>
      <c r="T314" s="32">
        <f t="shared" si="19"/>
        <v>1</v>
      </c>
    </row>
    <row r="315" spans="1:20">
      <c r="A315" s="32" t="s">
        <v>49</v>
      </c>
      <c r="B315" s="32" t="s">
        <v>820</v>
      </c>
      <c r="C315" s="32" t="s">
        <v>821</v>
      </c>
      <c r="D315" s="32"/>
      <c r="E315" s="32" t="s">
        <v>93</v>
      </c>
      <c r="F315" s="32" t="s">
        <v>346</v>
      </c>
      <c r="G315" s="33">
        <v>381700</v>
      </c>
      <c r="H315" s="32">
        <v>11</v>
      </c>
      <c r="I315" s="32">
        <v>6</v>
      </c>
      <c r="J315" s="32">
        <v>78</v>
      </c>
      <c r="K315" s="32">
        <v>1</v>
      </c>
      <c r="L315" s="33">
        <v>52600000</v>
      </c>
      <c r="M315" s="33">
        <v>11400000</v>
      </c>
      <c r="N315" s="33">
        <v>87300</v>
      </c>
      <c r="O315" s="33">
        <v>237300</v>
      </c>
      <c r="P315" s="34">
        <f t="shared" si="16"/>
        <v>0.22290114068441064</v>
      </c>
      <c r="Q315" s="34">
        <f t="shared" si="17"/>
        <v>0.21673003802281368</v>
      </c>
      <c r="R315" s="35">
        <f t="shared" si="18"/>
        <v>137.80455855383809</v>
      </c>
      <c r="S315" s="32" t="str">
        <f>IF(AND(L315&gt;=INDEX(Succès!$D$10:$D$13,MATCH(A315,Succès!$A$10:$A$13,0)),P315&gt;=INDEX(Succès!$E$10:$E$13,MATCH(A315,Succès!$A$10:$A$13,0))),"Succès complet",IF(P315&gt;=INDEX(Succès!$E$10:$E$13,MATCH(A315,Succès!$A$10:$A$13,0)),"Engagé, portée modeste",IF(L315&gt;=INDEX(Succès!$D$10:$D$13,MATCH(A315,Succès!$A$10:$A$13,0)),"Portée sans engagement","Standard")))</f>
        <v>Engagé, portée modeste</v>
      </c>
      <c r="T315" s="32">
        <f t="shared" si="19"/>
        <v>0</v>
      </c>
    </row>
    <row r="316" spans="1:20">
      <c r="A316" s="32" t="s">
        <v>49</v>
      </c>
      <c r="B316" s="32" t="s">
        <v>822</v>
      </c>
      <c r="C316" s="32" t="s">
        <v>823</v>
      </c>
      <c r="D316" s="32"/>
      <c r="E316" s="32" t="s">
        <v>93</v>
      </c>
      <c r="F316" s="32" t="s">
        <v>341</v>
      </c>
      <c r="G316" s="33">
        <v>3500000</v>
      </c>
      <c r="H316" s="32">
        <v>59</v>
      </c>
      <c r="I316" s="32">
        <v>8</v>
      </c>
      <c r="J316" s="32">
        <v>77</v>
      </c>
      <c r="K316" s="32">
        <v>1</v>
      </c>
      <c r="L316" s="33">
        <v>65900000</v>
      </c>
      <c r="M316" s="33">
        <v>11200000</v>
      </c>
      <c r="N316" s="33">
        <v>188300</v>
      </c>
      <c r="O316" s="33">
        <v>728700</v>
      </c>
      <c r="P316" s="34">
        <f t="shared" si="16"/>
        <v>0.18386949924127466</v>
      </c>
      <c r="Q316" s="34">
        <f t="shared" si="17"/>
        <v>0.16995447647951442</v>
      </c>
      <c r="R316" s="35">
        <f t="shared" si="18"/>
        <v>18.828571428571429</v>
      </c>
      <c r="S316" s="32" t="str">
        <f>IF(AND(L316&gt;=INDEX(Succès!$D$10:$D$13,MATCH(A316,Succès!$A$10:$A$13,0)),P316&gt;=INDEX(Succès!$E$10:$E$13,MATCH(A316,Succès!$A$10:$A$13,0))),"Succès complet",IF(P316&gt;=INDEX(Succès!$E$10:$E$13,MATCH(A316,Succès!$A$10:$A$13,0)),"Engagé, portée modeste",IF(L316&gt;=INDEX(Succès!$D$10:$D$13,MATCH(A316,Succès!$A$10:$A$13,0)),"Portée sans engagement","Standard")))</f>
        <v>Succès complet</v>
      </c>
      <c r="T316" s="32">
        <f t="shared" si="19"/>
        <v>1</v>
      </c>
    </row>
    <row r="317" spans="1:20">
      <c r="A317" s="32" t="s">
        <v>49</v>
      </c>
      <c r="B317" s="32" t="s">
        <v>824</v>
      </c>
      <c r="C317" s="32" t="s">
        <v>268</v>
      </c>
      <c r="D317" s="32" t="s">
        <v>266</v>
      </c>
      <c r="E317" s="32" t="s">
        <v>93</v>
      </c>
      <c r="F317" s="32" t="s">
        <v>346</v>
      </c>
      <c r="G317" s="33">
        <v>144200</v>
      </c>
      <c r="H317" s="32">
        <v>10</v>
      </c>
      <c r="I317" s="32">
        <v>5</v>
      </c>
      <c r="J317" s="32">
        <v>46</v>
      </c>
      <c r="K317" s="32">
        <v>1</v>
      </c>
      <c r="L317" s="33">
        <v>46100000</v>
      </c>
      <c r="M317" s="33">
        <v>11200000</v>
      </c>
      <c r="N317" s="33">
        <v>227900</v>
      </c>
      <c r="O317" s="33">
        <v>390800</v>
      </c>
      <c r="P317" s="34">
        <f t="shared" si="16"/>
        <v>0.25637093275488071</v>
      </c>
      <c r="Q317" s="34">
        <f t="shared" si="17"/>
        <v>0.24295010845986983</v>
      </c>
      <c r="R317" s="35">
        <f t="shared" si="18"/>
        <v>319.69486823855755</v>
      </c>
      <c r="S317" s="32" t="str">
        <f>IF(AND(L317&gt;=INDEX(Succès!$D$10:$D$13,MATCH(A317,Succès!$A$10:$A$13,0)),P317&gt;=INDEX(Succès!$E$10:$E$13,MATCH(A317,Succès!$A$10:$A$13,0))),"Succès complet",IF(P317&gt;=INDEX(Succès!$E$10:$E$13,MATCH(A317,Succès!$A$10:$A$13,0)),"Engagé, portée modeste",IF(L317&gt;=INDEX(Succès!$D$10:$D$13,MATCH(A317,Succès!$A$10:$A$13,0)),"Portée sans engagement","Standard")))</f>
        <v>Engagé, portée modeste</v>
      </c>
      <c r="T317" s="32">
        <f t="shared" si="19"/>
        <v>0</v>
      </c>
    </row>
    <row r="318" spans="1:20">
      <c r="A318" s="32" t="s">
        <v>49</v>
      </c>
      <c r="B318" s="32" t="s">
        <v>825</v>
      </c>
      <c r="C318" s="32" t="s">
        <v>803</v>
      </c>
      <c r="D318" s="32"/>
      <c r="E318" s="32" t="s">
        <v>93</v>
      </c>
      <c r="F318" s="32" t="s">
        <v>341</v>
      </c>
      <c r="G318" s="33">
        <v>7900000</v>
      </c>
      <c r="H318" s="32">
        <v>19</v>
      </c>
      <c r="I318" s="32">
        <v>9</v>
      </c>
      <c r="J318" s="32">
        <v>148</v>
      </c>
      <c r="K318" s="32">
        <v>1</v>
      </c>
      <c r="L318" s="33">
        <v>77000000</v>
      </c>
      <c r="M318" s="33">
        <v>11000000</v>
      </c>
      <c r="N318" s="33">
        <v>56300</v>
      </c>
      <c r="O318" s="33">
        <v>194300</v>
      </c>
      <c r="P318" s="34">
        <f t="shared" si="16"/>
        <v>0.1461116883116883</v>
      </c>
      <c r="Q318" s="34">
        <f t="shared" si="17"/>
        <v>0.14285714285714285</v>
      </c>
      <c r="R318" s="35">
        <f t="shared" si="18"/>
        <v>9.7468354430379751</v>
      </c>
      <c r="S318" s="32" t="str">
        <f>IF(AND(L318&gt;=INDEX(Succès!$D$10:$D$13,MATCH(A318,Succès!$A$10:$A$13,0)),P318&gt;=INDEX(Succès!$E$10:$E$13,MATCH(A318,Succès!$A$10:$A$13,0))),"Succès complet",IF(P318&gt;=INDEX(Succès!$E$10:$E$13,MATCH(A318,Succès!$A$10:$A$13,0)),"Engagé, portée modeste",IF(L318&gt;=INDEX(Succès!$D$10:$D$13,MATCH(A318,Succès!$A$10:$A$13,0)),"Portée sans engagement","Standard")))</f>
        <v>Portée sans engagement</v>
      </c>
      <c r="T318" s="32">
        <f t="shared" si="19"/>
        <v>0</v>
      </c>
    </row>
    <row r="319" spans="1:20">
      <c r="A319" s="32" t="s">
        <v>49</v>
      </c>
      <c r="B319" s="32" t="s">
        <v>826</v>
      </c>
      <c r="C319" s="32" t="s">
        <v>827</v>
      </c>
      <c r="D319" s="32"/>
      <c r="E319" s="32" t="s">
        <v>93</v>
      </c>
      <c r="F319" s="32" t="s">
        <v>346</v>
      </c>
      <c r="G319" s="33">
        <v>14500000</v>
      </c>
      <c r="H319" s="32">
        <v>10</v>
      </c>
      <c r="I319" s="32">
        <v>17</v>
      </c>
      <c r="J319" s="32">
        <v>145</v>
      </c>
      <c r="K319" s="32">
        <v>1</v>
      </c>
      <c r="L319" s="33">
        <v>75700000</v>
      </c>
      <c r="M319" s="33">
        <v>10600000</v>
      </c>
      <c r="N319" s="33">
        <v>111500</v>
      </c>
      <c r="O319" s="33">
        <v>267700</v>
      </c>
      <c r="P319" s="34">
        <f t="shared" si="16"/>
        <v>0.14503566710700133</v>
      </c>
      <c r="Q319" s="34">
        <f t="shared" si="17"/>
        <v>0.14002642007926025</v>
      </c>
      <c r="R319" s="35">
        <f t="shared" si="18"/>
        <v>5.2206896551724142</v>
      </c>
      <c r="S319" s="32" t="str">
        <f>IF(AND(L319&gt;=INDEX(Succès!$D$10:$D$13,MATCH(A319,Succès!$A$10:$A$13,0)),P319&gt;=INDEX(Succès!$E$10:$E$13,MATCH(A319,Succès!$A$10:$A$13,0))),"Succès complet",IF(P319&gt;=INDEX(Succès!$E$10:$E$13,MATCH(A319,Succès!$A$10:$A$13,0)),"Engagé, portée modeste",IF(L319&gt;=INDEX(Succès!$D$10:$D$13,MATCH(A319,Succès!$A$10:$A$13,0)),"Portée sans engagement","Standard")))</f>
        <v>Portée sans engagement</v>
      </c>
      <c r="T319" s="32">
        <f t="shared" si="19"/>
        <v>0</v>
      </c>
    </row>
    <row r="320" spans="1:20">
      <c r="A320" s="32" t="s">
        <v>49</v>
      </c>
      <c r="B320" s="32" t="s">
        <v>828</v>
      </c>
      <c r="C320" s="32" t="s">
        <v>829</v>
      </c>
      <c r="D320" s="32"/>
      <c r="E320" s="32" t="s">
        <v>93</v>
      </c>
      <c r="F320" s="32" t="s">
        <v>346</v>
      </c>
      <c r="G320" s="33">
        <v>5200000</v>
      </c>
      <c r="H320" s="32">
        <v>47</v>
      </c>
      <c r="I320" s="32">
        <v>2</v>
      </c>
      <c r="J320" s="32">
        <v>47</v>
      </c>
      <c r="K320" s="32">
        <v>1</v>
      </c>
      <c r="L320" s="33">
        <v>52100000</v>
      </c>
      <c r="M320" s="33">
        <v>10400000</v>
      </c>
      <c r="N320" s="33">
        <v>30000</v>
      </c>
      <c r="O320" s="33">
        <v>32000</v>
      </c>
      <c r="P320" s="34">
        <f t="shared" si="16"/>
        <v>0.20080614203454894</v>
      </c>
      <c r="Q320" s="34">
        <f t="shared" si="17"/>
        <v>0.19961612284069097</v>
      </c>
      <c r="R320" s="35">
        <f t="shared" si="18"/>
        <v>10.01923076923077</v>
      </c>
      <c r="S320" s="32" t="str">
        <f>IF(AND(L320&gt;=INDEX(Succès!$D$10:$D$13,MATCH(A320,Succès!$A$10:$A$13,0)),P320&gt;=INDEX(Succès!$E$10:$E$13,MATCH(A320,Succès!$A$10:$A$13,0))),"Succès complet",IF(P320&gt;=INDEX(Succès!$E$10:$E$13,MATCH(A320,Succès!$A$10:$A$13,0)),"Engagé, portée modeste",IF(L320&gt;=INDEX(Succès!$D$10:$D$13,MATCH(A320,Succès!$A$10:$A$13,0)),"Portée sans engagement","Standard")))</f>
        <v>Engagé, portée modeste</v>
      </c>
      <c r="T320" s="32">
        <f t="shared" si="19"/>
        <v>0</v>
      </c>
    </row>
    <row r="321" spans="1:20">
      <c r="A321" s="32" t="s">
        <v>49</v>
      </c>
      <c r="B321" s="32" t="s">
        <v>830</v>
      </c>
      <c r="C321" s="32" t="s">
        <v>831</v>
      </c>
      <c r="D321" s="32"/>
      <c r="E321" s="32" t="s">
        <v>93</v>
      </c>
      <c r="F321" s="32" t="s">
        <v>346</v>
      </c>
      <c r="G321" s="33">
        <v>2300000</v>
      </c>
      <c r="H321" s="32">
        <v>23</v>
      </c>
      <c r="I321" s="32">
        <v>12</v>
      </c>
      <c r="J321" s="32">
        <v>141</v>
      </c>
      <c r="K321" s="32">
        <v>1</v>
      </c>
      <c r="L321" s="33">
        <v>106200000</v>
      </c>
      <c r="M321" s="33">
        <v>10400000</v>
      </c>
      <c r="N321" s="33">
        <v>14000</v>
      </c>
      <c r="O321" s="33">
        <v>19400</v>
      </c>
      <c r="P321" s="34">
        <f t="shared" si="16"/>
        <v>9.8242937853107351E-2</v>
      </c>
      <c r="Q321" s="34">
        <f t="shared" si="17"/>
        <v>9.7928436911487754E-2</v>
      </c>
      <c r="R321" s="35">
        <f t="shared" si="18"/>
        <v>46.173913043478258</v>
      </c>
      <c r="S321" s="32" t="str">
        <f>IF(AND(L321&gt;=INDEX(Succès!$D$10:$D$13,MATCH(A321,Succès!$A$10:$A$13,0)),P321&gt;=INDEX(Succès!$E$10:$E$13,MATCH(A321,Succès!$A$10:$A$13,0))),"Succès complet",IF(P321&gt;=INDEX(Succès!$E$10:$E$13,MATCH(A321,Succès!$A$10:$A$13,0)),"Engagé, portée modeste",IF(L321&gt;=INDEX(Succès!$D$10:$D$13,MATCH(A321,Succès!$A$10:$A$13,0)),"Portée sans engagement","Standard")))</f>
        <v>Portée sans engagement</v>
      </c>
      <c r="T321" s="32">
        <f t="shared" si="19"/>
        <v>0</v>
      </c>
    </row>
    <row r="322" spans="1:20">
      <c r="A322" s="32" t="s">
        <v>49</v>
      </c>
      <c r="B322" s="32" t="s">
        <v>832</v>
      </c>
      <c r="C322" s="32" t="s">
        <v>833</v>
      </c>
      <c r="D322" s="32"/>
      <c r="E322" s="32" t="s">
        <v>93</v>
      </c>
      <c r="F322" s="32" t="s">
        <v>346</v>
      </c>
      <c r="G322" s="33">
        <v>547000</v>
      </c>
      <c r="H322" s="32">
        <v>16</v>
      </c>
      <c r="I322" s="32">
        <v>17</v>
      </c>
      <c r="J322" s="32">
        <v>145</v>
      </c>
      <c r="K322" s="32">
        <v>1</v>
      </c>
      <c r="L322" s="33">
        <v>71200000</v>
      </c>
      <c r="M322" s="33">
        <v>10300000</v>
      </c>
      <c r="N322" s="33">
        <v>328100</v>
      </c>
      <c r="O322" s="33">
        <v>655800</v>
      </c>
      <c r="P322" s="34">
        <f t="shared" ref="P322:P385" si="20">(M322+N322+O322)/L322</f>
        <v>0.15848174157303371</v>
      </c>
      <c r="Q322" s="34">
        <f t="shared" ref="Q322:Q385" si="21">M322/L322</f>
        <v>0.1446629213483146</v>
      </c>
      <c r="R322" s="35">
        <f t="shared" ref="R322:R385" si="22">IF(G322="","",L322/G322)</f>
        <v>130.16453382084094</v>
      </c>
      <c r="S322" s="32" t="str">
        <f>IF(AND(L322&gt;=INDEX(Succès!$D$10:$D$13,MATCH(A322,Succès!$A$10:$A$13,0)),P322&gt;=INDEX(Succès!$E$10:$E$13,MATCH(A322,Succès!$A$10:$A$13,0))),"Succès complet",IF(P322&gt;=INDEX(Succès!$E$10:$E$13,MATCH(A322,Succès!$A$10:$A$13,0)),"Engagé, portée modeste",IF(L322&gt;=INDEX(Succès!$D$10:$D$13,MATCH(A322,Succès!$A$10:$A$13,0)),"Portée sans engagement","Standard")))</f>
        <v>Portée sans engagement</v>
      </c>
      <c r="T322" s="32">
        <f t="shared" ref="T322:T385" si="23">IF(S322="Succès complet",1,0)</f>
        <v>0</v>
      </c>
    </row>
    <row r="323" spans="1:20">
      <c r="A323" s="32" t="s">
        <v>49</v>
      </c>
      <c r="B323" s="32" t="s">
        <v>834</v>
      </c>
      <c r="C323" s="32" t="s">
        <v>803</v>
      </c>
      <c r="D323" s="32"/>
      <c r="E323" s="32" t="s">
        <v>93</v>
      </c>
      <c r="F323" s="32" t="s">
        <v>341</v>
      </c>
      <c r="G323" s="33">
        <v>7900000</v>
      </c>
      <c r="H323" s="32">
        <v>18</v>
      </c>
      <c r="I323" s="32">
        <v>8</v>
      </c>
      <c r="J323" s="32">
        <v>145</v>
      </c>
      <c r="K323" s="32">
        <v>1</v>
      </c>
      <c r="L323" s="33">
        <v>60300000</v>
      </c>
      <c r="M323" s="33">
        <v>10300000</v>
      </c>
      <c r="N323" s="33">
        <v>109800</v>
      </c>
      <c r="O323" s="33">
        <v>186400</v>
      </c>
      <c r="P323" s="34">
        <f t="shared" si="20"/>
        <v>0.17572470978441126</v>
      </c>
      <c r="Q323" s="34">
        <f t="shared" si="21"/>
        <v>0.17081260364842454</v>
      </c>
      <c r="R323" s="35">
        <f t="shared" si="22"/>
        <v>7.6329113924050631</v>
      </c>
      <c r="S323" s="32" t="str">
        <f>IF(AND(L323&gt;=INDEX(Succès!$D$10:$D$13,MATCH(A323,Succès!$A$10:$A$13,0)),P323&gt;=INDEX(Succès!$E$10:$E$13,MATCH(A323,Succès!$A$10:$A$13,0))),"Succès complet",IF(P323&gt;=INDEX(Succès!$E$10:$E$13,MATCH(A323,Succès!$A$10:$A$13,0)),"Engagé, portée modeste",IF(L323&gt;=INDEX(Succès!$D$10:$D$13,MATCH(A323,Succès!$A$10:$A$13,0)),"Portée sans engagement","Standard")))</f>
        <v>Succès complet</v>
      </c>
      <c r="T323" s="32">
        <f t="shared" si="23"/>
        <v>1</v>
      </c>
    </row>
    <row r="324" spans="1:20">
      <c r="A324" s="32" t="s">
        <v>49</v>
      </c>
      <c r="B324" s="32" t="s">
        <v>835</v>
      </c>
      <c r="C324" s="32" t="s">
        <v>277</v>
      </c>
      <c r="D324" s="32" t="s">
        <v>275</v>
      </c>
      <c r="E324" s="32" t="s">
        <v>93</v>
      </c>
      <c r="F324" s="32" t="s">
        <v>346</v>
      </c>
      <c r="G324" s="33">
        <v>1000000</v>
      </c>
      <c r="H324" s="32">
        <v>50</v>
      </c>
      <c r="I324" s="32">
        <v>3</v>
      </c>
      <c r="J324" s="32">
        <v>52</v>
      </c>
      <c r="K324" s="32">
        <v>1</v>
      </c>
      <c r="L324" s="33">
        <v>44200000</v>
      </c>
      <c r="M324" s="33">
        <v>10200000</v>
      </c>
      <c r="N324" s="33">
        <v>26500</v>
      </c>
      <c r="O324" s="33">
        <v>27000</v>
      </c>
      <c r="P324" s="34">
        <f t="shared" si="20"/>
        <v>0.23197963800904978</v>
      </c>
      <c r="Q324" s="34">
        <f t="shared" si="21"/>
        <v>0.23076923076923078</v>
      </c>
      <c r="R324" s="35">
        <f t="shared" si="22"/>
        <v>44.2</v>
      </c>
      <c r="S324" s="32" t="str">
        <f>IF(AND(L324&gt;=INDEX(Succès!$D$10:$D$13,MATCH(A324,Succès!$A$10:$A$13,0)),P324&gt;=INDEX(Succès!$E$10:$E$13,MATCH(A324,Succès!$A$10:$A$13,0))),"Succès complet",IF(P324&gt;=INDEX(Succès!$E$10:$E$13,MATCH(A324,Succès!$A$10:$A$13,0)),"Engagé, portée modeste",IF(L324&gt;=INDEX(Succès!$D$10:$D$13,MATCH(A324,Succès!$A$10:$A$13,0)),"Portée sans engagement","Standard")))</f>
        <v>Engagé, portée modeste</v>
      </c>
      <c r="T324" s="32">
        <f t="shared" si="23"/>
        <v>0</v>
      </c>
    </row>
    <row r="325" spans="1:20">
      <c r="A325" s="32" t="s">
        <v>49</v>
      </c>
      <c r="B325" s="32" t="s">
        <v>836</v>
      </c>
      <c r="C325" s="32" t="s">
        <v>837</v>
      </c>
      <c r="D325" s="32"/>
      <c r="E325" s="32" t="s">
        <v>93</v>
      </c>
      <c r="F325" s="32" t="s">
        <v>346</v>
      </c>
      <c r="G325" s="33">
        <v>933700</v>
      </c>
      <c r="H325" s="32">
        <v>7</v>
      </c>
      <c r="I325" s="32">
        <v>6</v>
      </c>
      <c r="J325" s="32">
        <v>105</v>
      </c>
      <c r="K325" s="32">
        <v>1</v>
      </c>
      <c r="L325" s="33">
        <v>63700000</v>
      </c>
      <c r="M325" s="33">
        <v>10100000</v>
      </c>
      <c r="N325" s="33">
        <v>93500</v>
      </c>
      <c r="O325" s="33">
        <v>277100</v>
      </c>
      <c r="P325" s="34">
        <f t="shared" si="20"/>
        <v>0.16437362637362637</v>
      </c>
      <c r="Q325" s="34">
        <f t="shared" si="21"/>
        <v>0.15855572998430142</v>
      </c>
      <c r="R325" s="35">
        <f t="shared" si="22"/>
        <v>68.22319802934561</v>
      </c>
      <c r="S325" s="32" t="str">
        <f>IF(AND(L325&gt;=INDEX(Succès!$D$10:$D$13,MATCH(A325,Succès!$A$10:$A$13,0)),P325&gt;=INDEX(Succès!$E$10:$E$13,MATCH(A325,Succès!$A$10:$A$13,0))),"Succès complet",IF(P325&gt;=INDEX(Succès!$E$10:$E$13,MATCH(A325,Succès!$A$10:$A$13,0)),"Engagé, portée modeste",IF(L325&gt;=INDEX(Succès!$D$10:$D$13,MATCH(A325,Succès!$A$10:$A$13,0)),"Portée sans engagement","Standard")))</f>
        <v>Succès complet</v>
      </c>
      <c r="T325" s="32">
        <f t="shared" si="23"/>
        <v>1</v>
      </c>
    </row>
    <row r="326" spans="1:20">
      <c r="A326" s="32" t="s">
        <v>49</v>
      </c>
      <c r="B326" s="32" t="s">
        <v>838</v>
      </c>
      <c r="C326" s="32" t="s">
        <v>839</v>
      </c>
      <c r="D326" s="32"/>
      <c r="E326" s="32" t="s">
        <v>93</v>
      </c>
      <c r="F326" s="32" t="s">
        <v>341</v>
      </c>
      <c r="G326" s="33">
        <v>9100000</v>
      </c>
      <c r="H326" s="32">
        <v>22</v>
      </c>
      <c r="I326" s="32">
        <v>10</v>
      </c>
      <c r="J326" s="32">
        <v>143</v>
      </c>
      <c r="K326" s="32">
        <v>1</v>
      </c>
      <c r="L326" s="33">
        <v>112600000</v>
      </c>
      <c r="M326" s="33">
        <v>10000000</v>
      </c>
      <c r="N326" s="33">
        <v>14100</v>
      </c>
      <c r="O326" s="33">
        <v>39600</v>
      </c>
      <c r="P326" s="34">
        <f t="shared" si="20"/>
        <v>8.9286856127886324E-2</v>
      </c>
      <c r="Q326" s="34">
        <f t="shared" si="21"/>
        <v>8.8809946714031973E-2</v>
      </c>
      <c r="R326" s="35">
        <f t="shared" si="22"/>
        <v>12.373626373626374</v>
      </c>
      <c r="S326" s="32" t="str">
        <f>IF(AND(L326&gt;=INDEX(Succès!$D$10:$D$13,MATCH(A326,Succès!$A$10:$A$13,0)),P326&gt;=INDEX(Succès!$E$10:$E$13,MATCH(A326,Succès!$A$10:$A$13,0))),"Succès complet",IF(P326&gt;=INDEX(Succès!$E$10:$E$13,MATCH(A326,Succès!$A$10:$A$13,0)),"Engagé, portée modeste",IF(L326&gt;=INDEX(Succès!$D$10:$D$13,MATCH(A326,Succès!$A$10:$A$13,0)),"Portée sans engagement","Standard")))</f>
        <v>Portée sans engagement</v>
      </c>
      <c r="T326" s="32">
        <f t="shared" si="23"/>
        <v>0</v>
      </c>
    </row>
    <row r="327" spans="1:20">
      <c r="A327" s="32" t="s">
        <v>49</v>
      </c>
      <c r="B327" s="32" t="s">
        <v>840</v>
      </c>
      <c r="C327" s="32" t="s">
        <v>807</v>
      </c>
      <c r="D327" s="32"/>
      <c r="E327" s="32" t="s">
        <v>93</v>
      </c>
      <c r="F327" s="32" t="s">
        <v>341</v>
      </c>
      <c r="G327" s="33">
        <v>27400000</v>
      </c>
      <c r="H327" s="32">
        <v>13</v>
      </c>
      <c r="I327" s="32">
        <v>9</v>
      </c>
      <c r="J327" s="32">
        <v>74</v>
      </c>
      <c r="K327" s="32">
        <v>1</v>
      </c>
      <c r="L327" s="33">
        <v>54200000</v>
      </c>
      <c r="M327" s="33">
        <v>10000000</v>
      </c>
      <c r="N327" s="33">
        <v>94100</v>
      </c>
      <c r="O327" s="33">
        <v>78600</v>
      </c>
      <c r="P327" s="34">
        <f t="shared" si="20"/>
        <v>0.18768819188191882</v>
      </c>
      <c r="Q327" s="34">
        <f t="shared" si="21"/>
        <v>0.18450184501845018</v>
      </c>
      <c r="R327" s="35">
        <f t="shared" si="22"/>
        <v>1.9781021897810218</v>
      </c>
      <c r="S327" s="32" t="str">
        <f>IF(AND(L327&gt;=INDEX(Succès!$D$10:$D$13,MATCH(A327,Succès!$A$10:$A$13,0)),P327&gt;=INDEX(Succès!$E$10:$E$13,MATCH(A327,Succès!$A$10:$A$13,0))),"Succès complet",IF(P327&gt;=INDEX(Succès!$E$10:$E$13,MATCH(A327,Succès!$A$10:$A$13,0)),"Engagé, portée modeste",IF(L327&gt;=INDEX(Succès!$D$10:$D$13,MATCH(A327,Succès!$A$10:$A$13,0)),"Portée sans engagement","Standard")))</f>
        <v>Succès complet</v>
      </c>
      <c r="T327" s="32">
        <f t="shared" si="23"/>
        <v>1</v>
      </c>
    </row>
    <row r="328" spans="1:20">
      <c r="A328" s="32" t="s">
        <v>49</v>
      </c>
      <c r="B328" s="32" t="s">
        <v>841</v>
      </c>
      <c r="C328" s="32" t="s">
        <v>842</v>
      </c>
      <c r="D328" s="32"/>
      <c r="E328" s="32" t="s">
        <v>93</v>
      </c>
      <c r="F328" s="32" t="s">
        <v>346</v>
      </c>
      <c r="G328" s="33">
        <v>1800000</v>
      </c>
      <c r="H328" s="32">
        <v>15</v>
      </c>
      <c r="I328" s="32">
        <v>9</v>
      </c>
      <c r="J328" s="32">
        <v>108</v>
      </c>
      <c r="K328" s="32">
        <v>1</v>
      </c>
      <c r="L328" s="33">
        <v>48300000</v>
      </c>
      <c r="M328" s="33">
        <v>9900000</v>
      </c>
      <c r="N328" s="33">
        <v>63100</v>
      </c>
      <c r="O328" s="33">
        <v>312000</v>
      </c>
      <c r="P328" s="34">
        <f t="shared" si="20"/>
        <v>0.21273498964803311</v>
      </c>
      <c r="Q328" s="34">
        <f t="shared" si="21"/>
        <v>0.20496894409937888</v>
      </c>
      <c r="R328" s="35">
        <f t="shared" si="22"/>
        <v>26.833333333333332</v>
      </c>
      <c r="S328" s="32" t="str">
        <f>IF(AND(L328&gt;=INDEX(Succès!$D$10:$D$13,MATCH(A328,Succès!$A$10:$A$13,0)),P328&gt;=INDEX(Succès!$E$10:$E$13,MATCH(A328,Succès!$A$10:$A$13,0))),"Succès complet",IF(P328&gt;=INDEX(Succès!$E$10:$E$13,MATCH(A328,Succès!$A$10:$A$13,0)),"Engagé, portée modeste",IF(L328&gt;=INDEX(Succès!$D$10:$D$13,MATCH(A328,Succès!$A$10:$A$13,0)),"Portée sans engagement","Standard")))</f>
        <v>Engagé, portée modeste</v>
      </c>
      <c r="T328" s="32">
        <f t="shared" si="23"/>
        <v>0</v>
      </c>
    </row>
    <row r="329" spans="1:20">
      <c r="A329" s="32" t="s">
        <v>49</v>
      </c>
      <c r="B329" s="32" t="s">
        <v>843</v>
      </c>
      <c r="C329" s="32" t="s">
        <v>844</v>
      </c>
      <c r="D329" s="32"/>
      <c r="E329" s="32" t="s">
        <v>93</v>
      </c>
      <c r="F329" s="32" t="s">
        <v>341</v>
      </c>
      <c r="G329" s="33">
        <v>7900000</v>
      </c>
      <c r="H329" s="32">
        <v>9</v>
      </c>
      <c r="I329" s="32">
        <v>5</v>
      </c>
      <c r="J329" s="32">
        <v>117</v>
      </c>
      <c r="K329" s="32">
        <v>1</v>
      </c>
      <c r="L329" s="33">
        <v>49600000</v>
      </c>
      <c r="M329" s="33">
        <v>9900000</v>
      </c>
      <c r="N329" s="33">
        <v>41200</v>
      </c>
      <c r="O329" s="33">
        <v>536500</v>
      </c>
      <c r="P329" s="34">
        <f t="shared" si="20"/>
        <v>0.21124395161290321</v>
      </c>
      <c r="Q329" s="34">
        <f t="shared" si="21"/>
        <v>0.19959677419354838</v>
      </c>
      <c r="R329" s="35">
        <f t="shared" si="22"/>
        <v>6.2784810126582276</v>
      </c>
      <c r="S329" s="32" t="str">
        <f>IF(AND(L329&gt;=INDEX(Succès!$D$10:$D$13,MATCH(A329,Succès!$A$10:$A$13,0)),P329&gt;=INDEX(Succès!$E$10:$E$13,MATCH(A329,Succès!$A$10:$A$13,0))),"Succès complet",IF(P329&gt;=INDEX(Succès!$E$10:$E$13,MATCH(A329,Succès!$A$10:$A$13,0)),"Engagé, portée modeste",IF(L329&gt;=INDEX(Succès!$D$10:$D$13,MATCH(A329,Succès!$A$10:$A$13,0)),"Portée sans engagement","Standard")))</f>
        <v>Engagé, portée modeste</v>
      </c>
      <c r="T329" s="32">
        <f t="shared" si="23"/>
        <v>0</v>
      </c>
    </row>
    <row r="330" spans="1:20">
      <c r="A330" s="32" t="s">
        <v>49</v>
      </c>
      <c r="B330" s="32" t="s">
        <v>845</v>
      </c>
      <c r="C330" s="32" t="s">
        <v>846</v>
      </c>
      <c r="D330" s="32"/>
      <c r="E330" s="32" t="s">
        <v>93</v>
      </c>
      <c r="F330" s="32" t="s">
        <v>341</v>
      </c>
      <c r="G330" s="33">
        <v>6300000</v>
      </c>
      <c r="H330" s="32">
        <v>52</v>
      </c>
      <c r="I330" s="32">
        <v>6</v>
      </c>
      <c r="J330" s="32">
        <v>101</v>
      </c>
      <c r="K330" s="32">
        <v>1</v>
      </c>
      <c r="L330" s="33">
        <v>55200000</v>
      </c>
      <c r="M330" s="33">
        <v>9700000</v>
      </c>
      <c r="N330" s="33">
        <v>99000</v>
      </c>
      <c r="O330" s="33">
        <v>712400</v>
      </c>
      <c r="P330" s="34">
        <f t="shared" si="20"/>
        <v>0.19042391304347825</v>
      </c>
      <c r="Q330" s="34">
        <f t="shared" si="21"/>
        <v>0.17572463768115942</v>
      </c>
      <c r="R330" s="35">
        <f t="shared" si="22"/>
        <v>8.7619047619047628</v>
      </c>
      <c r="S330" s="32" t="str">
        <f>IF(AND(L330&gt;=INDEX(Succès!$D$10:$D$13,MATCH(A330,Succès!$A$10:$A$13,0)),P330&gt;=INDEX(Succès!$E$10:$E$13,MATCH(A330,Succès!$A$10:$A$13,0))),"Succès complet",IF(P330&gt;=INDEX(Succès!$E$10:$E$13,MATCH(A330,Succès!$A$10:$A$13,0)),"Engagé, portée modeste",IF(L330&gt;=INDEX(Succès!$D$10:$D$13,MATCH(A330,Succès!$A$10:$A$13,0)),"Portée sans engagement","Standard")))</f>
        <v>Succès complet</v>
      </c>
      <c r="T330" s="32">
        <f t="shared" si="23"/>
        <v>1</v>
      </c>
    </row>
    <row r="331" spans="1:20">
      <c r="A331" s="32" t="s">
        <v>49</v>
      </c>
      <c r="B331" s="32" t="s">
        <v>847</v>
      </c>
      <c r="C331" s="32" t="s">
        <v>848</v>
      </c>
      <c r="D331" s="32"/>
      <c r="E331" s="32" t="s">
        <v>93</v>
      </c>
      <c r="F331" s="32" t="s">
        <v>346</v>
      </c>
      <c r="G331" s="33">
        <v>362600</v>
      </c>
      <c r="H331" s="32">
        <v>9</v>
      </c>
      <c r="I331" s="32">
        <v>2</v>
      </c>
      <c r="J331" s="32">
        <v>33</v>
      </c>
      <c r="K331" s="32">
        <v>0</v>
      </c>
      <c r="L331" s="33">
        <v>66000000</v>
      </c>
      <c r="M331" s="33">
        <v>9700000</v>
      </c>
      <c r="N331" s="33">
        <v>541500</v>
      </c>
      <c r="O331" s="33">
        <v>846900</v>
      </c>
      <c r="P331" s="34">
        <f t="shared" si="20"/>
        <v>0.1680060606060606</v>
      </c>
      <c r="Q331" s="34">
        <f t="shared" si="21"/>
        <v>0.14696969696969697</v>
      </c>
      <c r="R331" s="35">
        <f t="shared" si="22"/>
        <v>182.01875344732488</v>
      </c>
      <c r="S331" s="32" t="str">
        <f>IF(AND(L331&gt;=INDEX(Succès!$D$10:$D$13,MATCH(A331,Succès!$A$10:$A$13,0)),P331&gt;=INDEX(Succès!$E$10:$E$13,MATCH(A331,Succès!$A$10:$A$13,0))),"Succès complet",IF(P331&gt;=INDEX(Succès!$E$10:$E$13,MATCH(A331,Succès!$A$10:$A$13,0)),"Engagé, portée modeste",IF(L331&gt;=INDEX(Succès!$D$10:$D$13,MATCH(A331,Succès!$A$10:$A$13,0)),"Portée sans engagement","Standard")))</f>
        <v>Succès complet</v>
      </c>
      <c r="T331" s="32">
        <f t="shared" si="23"/>
        <v>1</v>
      </c>
    </row>
    <row r="332" spans="1:20">
      <c r="A332" s="32" t="s">
        <v>49</v>
      </c>
      <c r="B332" s="32" t="s">
        <v>849</v>
      </c>
      <c r="C332" s="32" t="s">
        <v>280</v>
      </c>
      <c r="D332" s="32" t="s">
        <v>278</v>
      </c>
      <c r="E332" s="32" t="s">
        <v>93</v>
      </c>
      <c r="F332" s="32" t="s">
        <v>346</v>
      </c>
      <c r="G332" s="33">
        <v>158600</v>
      </c>
      <c r="H332" s="32">
        <v>14</v>
      </c>
      <c r="I332" s="32">
        <v>5</v>
      </c>
      <c r="J332" s="32">
        <v>40</v>
      </c>
      <c r="K332" s="32">
        <v>1</v>
      </c>
      <c r="L332" s="33">
        <v>42800000</v>
      </c>
      <c r="M332" s="33">
        <v>9700000</v>
      </c>
      <c r="N332" s="33">
        <v>48100</v>
      </c>
      <c r="O332" s="33">
        <v>82700</v>
      </c>
      <c r="P332" s="34">
        <f t="shared" si="20"/>
        <v>0.22969158878504672</v>
      </c>
      <c r="Q332" s="34">
        <f t="shared" si="21"/>
        <v>0.22663551401869159</v>
      </c>
      <c r="R332" s="35">
        <f t="shared" si="22"/>
        <v>269.8612862547289</v>
      </c>
      <c r="S332" s="32" t="str">
        <f>IF(AND(L332&gt;=INDEX(Succès!$D$10:$D$13,MATCH(A332,Succès!$A$10:$A$13,0)),P332&gt;=INDEX(Succès!$E$10:$E$13,MATCH(A332,Succès!$A$10:$A$13,0))),"Succès complet",IF(P332&gt;=INDEX(Succès!$E$10:$E$13,MATCH(A332,Succès!$A$10:$A$13,0)),"Engagé, portée modeste",IF(L332&gt;=INDEX(Succès!$D$10:$D$13,MATCH(A332,Succès!$A$10:$A$13,0)),"Portée sans engagement","Standard")))</f>
        <v>Engagé, portée modeste</v>
      </c>
      <c r="T332" s="32">
        <f t="shared" si="23"/>
        <v>0</v>
      </c>
    </row>
    <row r="333" spans="1:20">
      <c r="A333" s="32" t="s">
        <v>49</v>
      </c>
      <c r="B333" s="32" t="s">
        <v>850</v>
      </c>
      <c r="C333" s="32" t="s">
        <v>851</v>
      </c>
      <c r="D333" s="32"/>
      <c r="E333" s="32" t="s">
        <v>93</v>
      </c>
      <c r="F333" s="32" t="s">
        <v>341</v>
      </c>
      <c r="G333" s="33">
        <v>19700000</v>
      </c>
      <c r="H333" s="32">
        <v>11</v>
      </c>
      <c r="I333" s="32">
        <v>10</v>
      </c>
      <c r="J333" s="32">
        <v>115</v>
      </c>
      <c r="K333" s="32">
        <v>1</v>
      </c>
      <c r="L333" s="33">
        <v>74400000</v>
      </c>
      <c r="M333" s="33">
        <v>9500000</v>
      </c>
      <c r="N333" s="33">
        <v>27600</v>
      </c>
      <c r="O333" s="33">
        <v>103400</v>
      </c>
      <c r="P333" s="34">
        <f t="shared" si="20"/>
        <v>0.1294489247311828</v>
      </c>
      <c r="Q333" s="34">
        <f t="shared" si="21"/>
        <v>0.12768817204301075</v>
      </c>
      <c r="R333" s="35">
        <f t="shared" si="22"/>
        <v>3.7766497461928936</v>
      </c>
      <c r="S333" s="32" t="str">
        <f>IF(AND(L333&gt;=INDEX(Succès!$D$10:$D$13,MATCH(A333,Succès!$A$10:$A$13,0)),P333&gt;=INDEX(Succès!$E$10:$E$13,MATCH(A333,Succès!$A$10:$A$13,0))),"Succès complet",IF(P333&gt;=INDEX(Succès!$E$10:$E$13,MATCH(A333,Succès!$A$10:$A$13,0)),"Engagé, portée modeste",IF(L333&gt;=INDEX(Succès!$D$10:$D$13,MATCH(A333,Succès!$A$10:$A$13,0)),"Portée sans engagement","Standard")))</f>
        <v>Portée sans engagement</v>
      </c>
      <c r="T333" s="32">
        <f t="shared" si="23"/>
        <v>0</v>
      </c>
    </row>
    <row r="334" spans="1:20">
      <c r="A334" s="32" t="s">
        <v>49</v>
      </c>
      <c r="B334" s="32" t="s">
        <v>852</v>
      </c>
      <c r="C334" s="32" t="s">
        <v>853</v>
      </c>
      <c r="D334" s="32"/>
      <c r="E334" s="32" t="s">
        <v>93</v>
      </c>
      <c r="F334" s="32" t="s">
        <v>341</v>
      </c>
      <c r="G334" s="33">
        <v>18400000</v>
      </c>
      <c r="H334" s="32">
        <v>34</v>
      </c>
      <c r="I334" s="32">
        <v>3</v>
      </c>
      <c r="J334" s="32">
        <v>45</v>
      </c>
      <c r="K334" s="32">
        <v>0</v>
      </c>
      <c r="L334" s="33">
        <v>42700000</v>
      </c>
      <c r="M334" s="33">
        <v>9400000</v>
      </c>
      <c r="N334" s="33">
        <v>88800</v>
      </c>
      <c r="O334" s="33">
        <v>242200</v>
      </c>
      <c r="P334" s="34">
        <f t="shared" si="20"/>
        <v>0.22789227166276346</v>
      </c>
      <c r="Q334" s="34">
        <f t="shared" si="21"/>
        <v>0.22014051522248243</v>
      </c>
      <c r="R334" s="35">
        <f t="shared" si="22"/>
        <v>2.3206521739130435</v>
      </c>
      <c r="S334" s="32" t="str">
        <f>IF(AND(L334&gt;=INDEX(Succès!$D$10:$D$13,MATCH(A334,Succès!$A$10:$A$13,0)),P334&gt;=INDEX(Succès!$E$10:$E$13,MATCH(A334,Succès!$A$10:$A$13,0))),"Succès complet",IF(P334&gt;=INDEX(Succès!$E$10:$E$13,MATCH(A334,Succès!$A$10:$A$13,0)),"Engagé, portée modeste",IF(L334&gt;=INDEX(Succès!$D$10:$D$13,MATCH(A334,Succès!$A$10:$A$13,0)),"Portée sans engagement","Standard")))</f>
        <v>Engagé, portée modeste</v>
      </c>
      <c r="T334" s="32">
        <f t="shared" si="23"/>
        <v>0</v>
      </c>
    </row>
    <row r="335" spans="1:20">
      <c r="A335" s="32" t="s">
        <v>49</v>
      </c>
      <c r="B335" s="32" t="s">
        <v>854</v>
      </c>
      <c r="C335" s="32" t="s">
        <v>855</v>
      </c>
      <c r="D335" s="32"/>
      <c r="E335" s="32" t="s">
        <v>93</v>
      </c>
      <c r="F335" s="32" t="s">
        <v>346</v>
      </c>
      <c r="G335" s="33">
        <v>614100</v>
      </c>
      <c r="H335" s="32">
        <v>27</v>
      </c>
      <c r="I335" s="32">
        <v>8</v>
      </c>
      <c r="J335" s="32">
        <v>91</v>
      </c>
      <c r="K335" s="32">
        <v>1</v>
      </c>
      <c r="L335" s="33">
        <v>46300000</v>
      </c>
      <c r="M335" s="33">
        <v>9300000</v>
      </c>
      <c r="N335" s="33">
        <v>146200</v>
      </c>
      <c r="O335" s="33">
        <v>210900</v>
      </c>
      <c r="P335" s="34">
        <f t="shared" si="20"/>
        <v>0.20857667386609072</v>
      </c>
      <c r="Q335" s="34">
        <f t="shared" si="21"/>
        <v>0.20086393088552915</v>
      </c>
      <c r="R335" s="35">
        <f t="shared" si="22"/>
        <v>75.394886826249802</v>
      </c>
      <c r="S335" s="32" t="str">
        <f>IF(AND(L335&gt;=INDEX(Succès!$D$10:$D$13,MATCH(A335,Succès!$A$10:$A$13,0)),P335&gt;=INDEX(Succès!$E$10:$E$13,MATCH(A335,Succès!$A$10:$A$13,0))),"Succès complet",IF(P335&gt;=INDEX(Succès!$E$10:$E$13,MATCH(A335,Succès!$A$10:$A$13,0)),"Engagé, portée modeste",IF(L335&gt;=INDEX(Succès!$D$10:$D$13,MATCH(A335,Succès!$A$10:$A$13,0)),"Portée sans engagement","Standard")))</f>
        <v>Engagé, portée modeste</v>
      </c>
      <c r="T335" s="32">
        <f t="shared" si="23"/>
        <v>0</v>
      </c>
    </row>
    <row r="336" spans="1:20">
      <c r="A336" s="32" t="s">
        <v>49</v>
      </c>
      <c r="B336" s="32" t="s">
        <v>856</v>
      </c>
      <c r="C336" s="32" t="s">
        <v>857</v>
      </c>
      <c r="D336" s="32"/>
      <c r="E336" s="32" t="s">
        <v>93</v>
      </c>
      <c r="F336" s="32" t="s">
        <v>346</v>
      </c>
      <c r="G336" s="33">
        <v>346800</v>
      </c>
      <c r="H336" s="32">
        <v>44</v>
      </c>
      <c r="I336" s="32">
        <v>5</v>
      </c>
      <c r="J336" s="32">
        <v>89</v>
      </c>
      <c r="K336" s="32">
        <v>1</v>
      </c>
      <c r="L336" s="33">
        <v>50900000</v>
      </c>
      <c r="M336" s="33">
        <v>9300000</v>
      </c>
      <c r="N336" s="33">
        <v>90000</v>
      </c>
      <c r="O336" s="33">
        <v>89600</v>
      </c>
      <c r="P336" s="34">
        <f t="shared" si="20"/>
        <v>0.18623968565815324</v>
      </c>
      <c r="Q336" s="34">
        <f t="shared" si="21"/>
        <v>0.18271119842829076</v>
      </c>
      <c r="R336" s="35">
        <f t="shared" si="22"/>
        <v>146.77047289504037</v>
      </c>
      <c r="S336" s="32" t="str">
        <f>IF(AND(L336&gt;=INDEX(Succès!$D$10:$D$13,MATCH(A336,Succès!$A$10:$A$13,0)),P336&gt;=INDEX(Succès!$E$10:$E$13,MATCH(A336,Succès!$A$10:$A$13,0))),"Succès complet",IF(P336&gt;=INDEX(Succès!$E$10:$E$13,MATCH(A336,Succès!$A$10:$A$13,0)),"Engagé, portée modeste",IF(L336&gt;=INDEX(Succès!$D$10:$D$13,MATCH(A336,Succès!$A$10:$A$13,0)),"Portée sans engagement","Standard")))</f>
        <v>Engagé, portée modeste</v>
      </c>
      <c r="T336" s="32">
        <f t="shared" si="23"/>
        <v>0</v>
      </c>
    </row>
    <row r="337" spans="1:20">
      <c r="A337" s="32" t="s">
        <v>49</v>
      </c>
      <c r="B337" s="32" t="s">
        <v>858</v>
      </c>
      <c r="C337" s="32" t="s">
        <v>859</v>
      </c>
      <c r="D337" s="32"/>
      <c r="E337" s="32" t="s">
        <v>93</v>
      </c>
      <c r="F337" s="32" t="s">
        <v>341</v>
      </c>
      <c r="G337" s="33">
        <v>8700000</v>
      </c>
      <c r="H337" s="32">
        <v>46</v>
      </c>
      <c r="I337" s="32">
        <v>5</v>
      </c>
      <c r="J337" s="32">
        <v>37</v>
      </c>
      <c r="K337" s="32">
        <v>1</v>
      </c>
      <c r="L337" s="33">
        <v>51900000</v>
      </c>
      <c r="M337" s="33">
        <v>9100000</v>
      </c>
      <c r="N337" s="33">
        <v>71500</v>
      </c>
      <c r="O337" s="33">
        <v>349700</v>
      </c>
      <c r="P337" s="34">
        <f t="shared" si="20"/>
        <v>0.18345279383429672</v>
      </c>
      <c r="Q337" s="34">
        <f t="shared" si="21"/>
        <v>0.17533718689788053</v>
      </c>
      <c r="R337" s="35">
        <f t="shared" si="22"/>
        <v>5.9655172413793105</v>
      </c>
      <c r="S337" s="32" t="str">
        <f>IF(AND(L337&gt;=INDEX(Succès!$D$10:$D$13,MATCH(A337,Succès!$A$10:$A$13,0)),P337&gt;=INDEX(Succès!$E$10:$E$13,MATCH(A337,Succès!$A$10:$A$13,0))),"Succès complet",IF(P337&gt;=INDEX(Succès!$E$10:$E$13,MATCH(A337,Succès!$A$10:$A$13,0)),"Engagé, portée modeste",IF(L337&gt;=INDEX(Succès!$D$10:$D$13,MATCH(A337,Succès!$A$10:$A$13,0)),"Portée sans engagement","Standard")))</f>
        <v>Engagé, portée modeste</v>
      </c>
      <c r="T337" s="32">
        <f t="shared" si="23"/>
        <v>0</v>
      </c>
    </row>
    <row r="338" spans="1:20">
      <c r="A338" s="32" t="s">
        <v>49</v>
      </c>
      <c r="B338" s="32" t="s">
        <v>860</v>
      </c>
      <c r="C338" s="32" t="s">
        <v>861</v>
      </c>
      <c r="D338" s="32"/>
      <c r="E338" s="32" t="s">
        <v>93</v>
      </c>
      <c r="F338" s="32" t="s">
        <v>346</v>
      </c>
      <c r="G338" s="33">
        <v>2300000</v>
      </c>
      <c r="H338" s="32">
        <v>59</v>
      </c>
      <c r="I338" s="32">
        <v>16</v>
      </c>
      <c r="J338" s="32">
        <v>149</v>
      </c>
      <c r="K338" s="32">
        <v>1</v>
      </c>
      <c r="L338" s="33">
        <v>45200000</v>
      </c>
      <c r="M338" s="33">
        <v>9100000</v>
      </c>
      <c r="N338" s="33">
        <v>46900</v>
      </c>
      <c r="O338" s="33">
        <v>86100</v>
      </c>
      <c r="P338" s="34">
        <f t="shared" si="20"/>
        <v>0.20426991150442478</v>
      </c>
      <c r="Q338" s="34">
        <f t="shared" si="21"/>
        <v>0.20132743362831859</v>
      </c>
      <c r="R338" s="35">
        <f t="shared" si="22"/>
        <v>19.652173913043477</v>
      </c>
      <c r="S338" s="32" t="str">
        <f>IF(AND(L338&gt;=INDEX(Succès!$D$10:$D$13,MATCH(A338,Succès!$A$10:$A$13,0)),P338&gt;=INDEX(Succès!$E$10:$E$13,MATCH(A338,Succès!$A$10:$A$13,0))),"Succès complet",IF(P338&gt;=INDEX(Succès!$E$10:$E$13,MATCH(A338,Succès!$A$10:$A$13,0)),"Engagé, portée modeste",IF(L338&gt;=INDEX(Succès!$D$10:$D$13,MATCH(A338,Succès!$A$10:$A$13,0)),"Portée sans engagement","Standard")))</f>
        <v>Engagé, portée modeste</v>
      </c>
      <c r="T338" s="32">
        <f t="shared" si="23"/>
        <v>0</v>
      </c>
    </row>
    <row r="339" spans="1:20">
      <c r="A339" s="32" t="s">
        <v>49</v>
      </c>
      <c r="B339" s="32" t="s">
        <v>862</v>
      </c>
      <c r="C339" s="32" t="s">
        <v>807</v>
      </c>
      <c r="D339" s="32"/>
      <c r="E339" s="32" t="s">
        <v>93</v>
      </c>
      <c r="F339" s="32" t="s">
        <v>341</v>
      </c>
      <c r="G339" s="33">
        <v>27400000</v>
      </c>
      <c r="H339" s="32">
        <v>17</v>
      </c>
      <c r="I339" s="32">
        <v>8</v>
      </c>
      <c r="J339" s="32">
        <v>65</v>
      </c>
      <c r="K339" s="32">
        <v>1</v>
      </c>
      <c r="L339" s="33">
        <v>85700000</v>
      </c>
      <c r="M339" s="33">
        <v>9100000</v>
      </c>
      <c r="N339" s="33">
        <v>47100</v>
      </c>
      <c r="O339" s="33">
        <v>33900</v>
      </c>
      <c r="P339" s="34">
        <f t="shared" si="20"/>
        <v>0.10712952158693116</v>
      </c>
      <c r="Q339" s="34">
        <f t="shared" si="21"/>
        <v>0.10618436406067679</v>
      </c>
      <c r="R339" s="35">
        <f t="shared" si="22"/>
        <v>3.1277372262773722</v>
      </c>
      <c r="S339" s="32" t="str">
        <f>IF(AND(L339&gt;=INDEX(Succès!$D$10:$D$13,MATCH(A339,Succès!$A$10:$A$13,0)),P339&gt;=INDEX(Succès!$E$10:$E$13,MATCH(A339,Succès!$A$10:$A$13,0))),"Succès complet",IF(P339&gt;=INDEX(Succès!$E$10:$E$13,MATCH(A339,Succès!$A$10:$A$13,0)),"Engagé, portée modeste",IF(L339&gt;=INDEX(Succès!$D$10:$D$13,MATCH(A339,Succès!$A$10:$A$13,0)),"Portée sans engagement","Standard")))</f>
        <v>Portée sans engagement</v>
      </c>
      <c r="T339" s="32">
        <f t="shared" si="23"/>
        <v>0</v>
      </c>
    </row>
    <row r="340" spans="1:20">
      <c r="A340" s="32" t="s">
        <v>49</v>
      </c>
      <c r="B340" s="32" t="s">
        <v>863</v>
      </c>
      <c r="C340" s="32" t="s">
        <v>864</v>
      </c>
      <c r="D340" s="32"/>
      <c r="E340" s="32" t="s">
        <v>93</v>
      </c>
      <c r="F340" s="32" t="s">
        <v>346</v>
      </c>
      <c r="G340" s="33">
        <v>256100</v>
      </c>
      <c r="H340" s="32">
        <v>10</v>
      </c>
      <c r="I340" s="32">
        <v>7</v>
      </c>
      <c r="J340" s="32">
        <v>62</v>
      </c>
      <c r="K340" s="32">
        <v>0</v>
      </c>
      <c r="L340" s="33">
        <v>48100000</v>
      </c>
      <c r="M340" s="33">
        <v>9000000</v>
      </c>
      <c r="N340" s="33">
        <v>110400</v>
      </c>
      <c r="O340" s="33">
        <v>269700</v>
      </c>
      <c r="P340" s="34">
        <f t="shared" si="20"/>
        <v>0.19501247401247401</v>
      </c>
      <c r="Q340" s="34">
        <f t="shared" si="21"/>
        <v>0.18711018711018712</v>
      </c>
      <c r="R340" s="35">
        <f t="shared" si="22"/>
        <v>187.81725888324874</v>
      </c>
      <c r="S340" s="32" t="str">
        <f>IF(AND(L340&gt;=INDEX(Succès!$D$10:$D$13,MATCH(A340,Succès!$A$10:$A$13,0)),P340&gt;=INDEX(Succès!$E$10:$E$13,MATCH(A340,Succès!$A$10:$A$13,0))),"Succès complet",IF(P340&gt;=INDEX(Succès!$E$10:$E$13,MATCH(A340,Succès!$A$10:$A$13,0)),"Engagé, portée modeste",IF(L340&gt;=INDEX(Succès!$D$10:$D$13,MATCH(A340,Succès!$A$10:$A$13,0)),"Portée sans engagement","Standard")))</f>
        <v>Engagé, portée modeste</v>
      </c>
      <c r="T340" s="32">
        <f t="shared" si="23"/>
        <v>0</v>
      </c>
    </row>
    <row r="341" spans="1:20">
      <c r="A341" s="32" t="s">
        <v>49</v>
      </c>
      <c r="B341" s="32" t="s">
        <v>865</v>
      </c>
      <c r="C341" s="32" t="s">
        <v>866</v>
      </c>
      <c r="D341" s="32"/>
      <c r="E341" s="32" t="s">
        <v>93</v>
      </c>
      <c r="F341" s="32" t="s">
        <v>341</v>
      </c>
      <c r="G341" s="33">
        <v>6500000</v>
      </c>
      <c r="H341" s="32">
        <v>35</v>
      </c>
      <c r="I341" s="32">
        <v>13</v>
      </c>
      <c r="J341" s="32">
        <v>126</v>
      </c>
      <c r="K341" s="32">
        <v>1</v>
      </c>
      <c r="L341" s="33">
        <v>49400000</v>
      </c>
      <c r="M341" s="33">
        <v>8900000</v>
      </c>
      <c r="N341" s="33">
        <v>93800</v>
      </c>
      <c r="O341" s="33">
        <v>253400</v>
      </c>
      <c r="P341" s="34">
        <f t="shared" si="20"/>
        <v>0.1871902834008097</v>
      </c>
      <c r="Q341" s="34">
        <f t="shared" si="21"/>
        <v>0.18016194331983806</v>
      </c>
      <c r="R341" s="35">
        <f t="shared" si="22"/>
        <v>7.6</v>
      </c>
      <c r="S341" s="32" t="str">
        <f>IF(AND(L341&gt;=INDEX(Succès!$D$10:$D$13,MATCH(A341,Succès!$A$10:$A$13,0)),P341&gt;=INDEX(Succès!$E$10:$E$13,MATCH(A341,Succès!$A$10:$A$13,0))),"Succès complet",IF(P341&gt;=INDEX(Succès!$E$10:$E$13,MATCH(A341,Succès!$A$10:$A$13,0)),"Engagé, portée modeste",IF(L341&gt;=INDEX(Succès!$D$10:$D$13,MATCH(A341,Succès!$A$10:$A$13,0)),"Portée sans engagement","Standard")))</f>
        <v>Engagé, portée modeste</v>
      </c>
      <c r="T341" s="32">
        <f t="shared" si="23"/>
        <v>0</v>
      </c>
    </row>
    <row r="342" spans="1:20">
      <c r="A342" s="32" t="s">
        <v>49</v>
      </c>
      <c r="B342" s="32" t="s">
        <v>867</v>
      </c>
      <c r="C342" s="32" t="s">
        <v>803</v>
      </c>
      <c r="D342" s="32"/>
      <c r="E342" s="32" t="s">
        <v>93</v>
      </c>
      <c r="F342" s="32" t="s">
        <v>341</v>
      </c>
      <c r="G342" s="33">
        <v>7900000</v>
      </c>
      <c r="H342" s="32">
        <v>10</v>
      </c>
      <c r="I342" s="32">
        <v>9</v>
      </c>
      <c r="J342" s="32">
        <v>148</v>
      </c>
      <c r="K342" s="32">
        <v>1</v>
      </c>
      <c r="L342" s="33">
        <v>61400000</v>
      </c>
      <c r="M342" s="33">
        <v>8900000</v>
      </c>
      <c r="N342" s="33">
        <v>107300</v>
      </c>
      <c r="O342" s="33">
        <v>231100</v>
      </c>
      <c r="P342" s="34">
        <f t="shared" si="20"/>
        <v>0.15046254071661239</v>
      </c>
      <c r="Q342" s="34">
        <f t="shared" si="21"/>
        <v>0.14495114006514659</v>
      </c>
      <c r="R342" s="35">
        <f t="shared" si="22"/>
        <v>7.7721518987341769</v>
      </c>
      <c r="S342" s="32" t="str">
        <f>IF(AND(L342&gt;=INDEX(Succès!$D$10:$D$13,MATCH(A342,Succès!$A$10:$A$13,0)),P342&gt;=INDEX(Succès!$E$10:$E$13,MATCH(A342,Succès!$A$10:$A$13,0))),"Succès complet",IF(P342&gt;=INDEX(Succès!$E$10:$E$13,MATCH(A342,Succès!$A$10:$A$13,0)),"Engagé, portée modeste",IF(L342&gt;=INDEX(Succès!$D$10:$D$13,MATCH(A342,Succès!$A$10:$A$13,0)),"Portée sans engagement","Standard")))</f>
        <v>Portée sans engagement</v>
      </c>
      <c r="T342" s="32">
        <f t="shared" si="23"/>
        <v>0</v>
      </c>
    </row>
    <row r="343" spans="1:20">
      <c r="A343" s="32" t="s">
        <v>49</v>
      </c>
      <c r="B343" s="32" t="s">
        <v>868</v>
      </c>
      <c r="C343" s="32" t="s">
        <v>869</v>
      </c>
      <c r="D343" s="32"/>
      <c r="E343" s="32" t="s">
        <v>93</v>
      </c>
      <c r="F343" s="32" t="s">
        <v>341</v>
      </c>
      <c r="G343" s="33">
        <v>10400000</v>
      </c>
      <c r="H343" s="32">
        <v>10</v>
      </c>
      <c r="I343" s="32">
        <v>10</v>
      </c>
      <c r="J343" s="32">
        <v>102</v>
      </c>
      <c r="K343" s="32">
        <v>0</v>
      </c>
      <c r="L343" s="33">
        <v>60700000</v>
      </c>
      <c r="M343" s="33">
        <v>8800000</v>
      </c>
      <c r="N343" s="33">
        <v>57000</v>
      </c>
      <c r="O343" s="33">
        <v>514600</v>
      </c>
      <c r="P343" s="34">
        <f t="shared" si="20"/>
        <v>0.15439209225700165</v>
      </c>
      <c r="Q343" s="34">
        <f t="shared" si="21"/>
        <v>0.14497528830313014</v>
      </c>
      <c r="R343" s="35">
        <f t="shared" si="22"/>
        <v>5.8365384615384617</v>
      </c>
      <c r="S343" s="32" t="str">
        <f>IF(AND(L343&gt;=INDEX(Succès!$D$10:$D$13,MATCH(A343,Succès!$A$10:$A$13,0)),P343&gt;=INDEX(Succès!$E$10:$E$13,MATCH(A343,Succès!$A$10:$A$13,0))),"Succès complet",IF(P343&gt;=INDEX(Succès!$E$10:$E$13,MATCH(A343,Succès!$A$10:$A$13,0)),"Engagé, portée modeste",IF(L343&gt;=INDEX(Succès!$D$10:$D$13,MATCH(A343,Succès!$A$10:$A$13,0)),"Portée sans engagement","Standard")))</f>
        <v>Portée sans engagement</v>
      </c>
      <c r="T343" s="32">
        <f t="shared" si="23"/>
        <v>0</v>
      </c>
    </row>
    <row r="344" spans="1:20">
      <c r="A344" s="32" t="s">
        <v>49</v>
      </c>
      <c r="B344" s="32" t="s">
        <v>870</v>
      </c>
      <c r="C344" s="32" t="s">
        <v>871</v>
      </c>
      <c r="D344" s="32"/>
      <c r="E344" s="32" t="s">
        <v>93</v>
      </c>
      <c r="F344" s="32" t="s">
        <v>346</v>
      </c>
      <c r="G344" s="33">
        <v>2300000</v>
      </c>
      <c r="H344" s="32">
        <v>19</v>
      </c>
      <c r="I344" s="32">
        <v>9</v>
      </c>
      <c r="J344" s="32">
        <v>145</v>
      </c>
      <c r="K344" s="32">
        <v>1</v>
      </c>
      <c r="L344" s="33">
        <v>43300000</v>
      </c>
      <c r="M344" s="33">
        <v>8700000</v>
      </c>
      <c r="N344" s="33">
        <v>80800</v>
      </c>
      <c r="O344" s="33">
        <v>784100</v>
      </c>
      <c r="P344" s="34">
        <f t="shared" si="20"/>
        <v>0.22089838337182449</v>
      </c>
      <c r="Q344" s="34">
        <f t="shared" si="21"/>
        <v>0.20092378752886836</v>
      </c>
      <c r="R344" s="35">
        <f t="shared" si="22"/>
        <v>18.826086956521738</v>
      </c>
      <c r="S344" s="32" t="str">
        <f>IF(AND(L344&gt;=INDEX(Succès!$D$10:$D$13,MATCH(A344,Succès!$A$10:$A$13,0)),P344&gt;=INDEX(Succès!$E$10:$E$13,MATCH(A344,Succès!$A$10:$A$13,0))),"Succès complet",IF(P344&gt;=INDEX(Succès!$E$10:$E$13,MATCH(A344,Succès!$A$10:$A$13,0)),"Engagé, portée modeste",IF(L344&gt;=INDEX(Succès!$D$10:$D$13,MATCH(A344,Succès!$A$10:$A$13,0)),"Portée sans engagement","Standard")))</f>
        <v>Engagé, portée modeste</v>
      </c>
      <c r="T344" s="32">
        <f t="shared" si="23"/>
        <v>0</v>
      </c>
    </row>
    <row r="345" spans="1:20">
      <c r="A345" s="32" t="s">
        <v>49</v>
      </c>
      <c r="B345" s="32" t="s">
        <v>872</v>
      </c>
      <c r="C345" s="32" t="s">
        <v>803</v>
      </c>
      <c r="D345" s="32"/>
      <c r="E345" s="32" t="s">
        <v>93</v>
      </c>
      <c r="F345" s="32" t="s">
        <v>341</v>
      </c>
      <c r="G345" s="33">
        <v>7900000</v>
      </c>
      <c r="H345" s="32">
        <v>14</v>
      </c>
      <c r="I345" s="32">
        <v>13</v>
      </c>
      <c r="J345" s="32">
        <v>143</v>
      </c>
      <c r="K345" s="32">
        <v>1</v>
      </c>
      <c r="L345" s="33">
        <v>49700000</v>
      </c>
      <c r="M345" s="33">
        <v>8700000</v>
      </c>
      <c r="N345" s="33">
        <v>143200</v>
      </c>
      <c r="O345" s="33">
        <v>330900</v>
      </c>
      <c r="P345" s="34">
        <f t="shared" si="20"/>
        <v>0.18458953722334004</v>
      </c>
      <c r="Q345" s="34">
        <f t="shared" si="21"/>
        <v>0.1750503018108652</v>
      </c>
      <c r="R345" s="35">
        <f t="shared" si="22"/>
        <v>6.2911392405063289</v>
      </c>
      <c r="S345" s="32" t="str">
        <f>IF(AND(L345&gt;=INDEX(Succès!$D$10:$D$13,MATCH(A345,Succès!$A$10:$A$13,0)),P345&gt;=INDEX(Succès!$E$10:$E$13,MATCH(A345,Succès!$A$10:$A$13,0))),"Succès complet",IF(P345&gt;=INDEX(Succès!$E$10:$E$13,MATCH(A345,Succès!$A$10:$A$13,0)),"Engagé, portée modeste",IF(L345&gt;=INDEX(Succès!$D$10:$D$13,MATCH(A345,Succès!$A$10:$A$13,0)),"Portée sans engagement","Standard")))</f>
        <v>Engagé, portée modeste</v>
      </c>
      <c r="T345" s="32">
        <f t="shared" si="23"/>
        <v>0</v>
      </c>
    </row>
    <row r="346" spans="1:20">
      <c r="A346" s="32" t="s">
        <v>49</v>
      </c>
      <c r="B346" s="32" t="s">
        <v>873</v>
      </c>
      <c r="C346" s="32" t="s">
        <v>874</v>
      </c>
      <c r="D346" s="32"/>
      <c r="E346" s="32" t="s">
        <v>93</v>
      </c>
      <c r="F346" s="32" t="s">
        <v>346</v>
      </c>
      <c r="G346" s="33">
        <v>4500000</v>
      </c>
      <c r="H346" s="32">
        <v>53</v>
      </c>
      <c r="I346" s="32">
        <v>4</v>
      </c>
      <c r="J346" s="32">
        <v>53</v>
      </c>
      <c r="K346" s="32">
        <v>1</v>
      </c>
      <c r="L346" s="33">
        <v>39200000</v>
      </c>
      <c r="M346" s="33">
        <v>8700000</v>
      </c>
      <c r="N346" s="33">
        <v>33400</v>
      </c>
      <c r="O346" s="33">
        <v>69300</v>
      </c>
      <c r="P346" s="34">
        <f t="shared" si="20"/>
        <v>0.22455867346938777</v>
      </c>
      <c r="Q346" s="34">
        <f t="shared" si="21"/>
        <v>0.22193877551020408</v>
      </c>
      <c r="R346" s="35">
        <f t="shared" si="22"/>
        <v>8.7111111111111104</v>
      </c>
      <c r="S346" s="32" t="str">
        <f>IF(AND(L346&gt;=INDEX(Succès!$D$10:$D$13,MATCH(A346,Succès!$A$10:$A$13,0)),P346&gt;=INDEX(Succès!$E$10:$E$13,MATCH(A346,Succès!$A$10:$A$13,0))),"Succès complet",IF(P346&gt;=INDEX(Succès!$E$10:$E$13,MATCH(A346,Succès!$A$10:$A$13,0)),"Engagé, portée modeste",IF(L346&gt;=INDEX(Succès!$D$10:$D$13,MATCH(A346,Succès!$A$10:$A$13,0)),"Portée sans engagement","Standard")))</f>
        <v>Engagé, portée modeste</v>
      </c>
      <c r="T346" s="32">
        <f t="shared" si="23"/>
        <v>0</v>
      </c>
    </row>
    <row r="347" spans="1:20">
      <c r="A347" s="32" t="s">
        <v>49</v>
      </c>
      <c r="B347" s="32" t="s">
        <v>875</v>
      </c>
      <c r="C347" s="32" t="s">
        <v>876</v>
      </c>
      <c r="D347" s="32"/>
      <c r="E347" s="32" t="s">
        <v>93</v>
      </c>
      <c r="F347" s="32" t="s">
        <v>341</v>
      </c>
      <c r="G347" s="33">
        <v>8700000</v>
      </c>
      <c r="H347" s="32">
        <v>21</v>
      </c>
      <c r="I347" s="32">
        <v>5</v>
      </c>
      <c r="J347" s="32">
        <v>62</v>
      </c>
      <c r="K347" s="32">
        <v>1</v>
      </c>
      <c r="L347" s="33">
        <v>88200000</v>
      </c>
      <c r="M347" s="33">
        <v>8700000</v>
      </c>
      <c r="N347" s="33">
        <v>91500</v>
      </c>
      <c r="O347" s="33">
        <v>17100</v>
      </c>
      <c r="P347" s="34">
        <f t="shared" si="20"/>
        <v>9.9870748299319731E-2</v>
      </c>
      <c r="Q347" s="34">
        <f t="shared" si="21"/>
        <v>9.8639455782312924E-2</v>
      </c>
      <c r="R347" s="35">
        <f t="shared" si="22"/>
        <v>10.137931034482758</v>
      </c>
      <c r="S347" s="32" t="str">
        <f>IF(AND(L347&gt;=INDEX(Succès!$D$10:$D$13,MATCH(A347,Succès!$A$10:$A$13,0)),P347&gt;=INDEX(Succès!$E$10:$E$13,MATCH(A347,Succès!$A$10:$A$13,0))),"Succès complet",IF(P347&gt;=INDEX(Succès!$E$10:$E$13,MATCH(A347,Succès!$A$10:$A$13,0)),"Engagé, portée modeste",IF(L347&gt;=INDEX(Succès!$D$10:$D$13,MATCH(A347,Succès!$A$10:$A$13,0)),"Portée sans engagement","Standard")))</f>
        <v>Portée sans engagement</v>
      </c>
      <c r="T347" s="32">
        <f t="shared" si="23"/>
        <v>0</v>
      </c>
    </row>
    <row r="348" spans="1:20">
      <c r="A348" s="32" t="s">
        <v>49</v>
      </c>
      <c r="B348" s="32" t="s">
        <v>877</v>
      </c>
      <c r="C348" s="32" t="s">
        <v>878</v>
      </c>
      <c r="D348" s="32"/>
      <c r="E348" s="32" t="s">
        <v>93</v>
      </c>
      <c r="F348" s="32" t="s">
        <v>346</v>
      </c>
      <c r="G348" s="33">
        <v>376200</v>
      </c>
      <c r="H348" s="32">
        <v>29</v>
      </c>
      <c r="I348" s="32">
        <v>8</v>
      </c>
      <c r="J348" s="32">
        <v>104</v>
      </c>
      <c r="K348" s="32">
        <v>1</v>
      </c>
      <c r="L348" s="33">
        <v>40200000</v>
      </c>
      <c r="M348" s="33">
        <v>8600000</v>
      </c>
      <c r="N348" s="33">
        <v>58100</v>
      </c>
      <c r="O348" s="33">
        <v>134900</v>
      </c>
      <c r="P348" s="34">
        <f t="shared" si="20"/>
        <v>0.2187313432835821</v>
      </c>
      <c r="Q348" s="34">
        <f t="shared" si="21"/>
        <v>0.21393034825870647</v>
      </c>
      <c r="R348" s="35">
        <f t="shared" si="22"/>
        <v>106.85805422647528</v>
      </c>
      <c r="S348" s="32" t="str">
        <f>IF(AND(L348&gt;=INDEX(Succès!$D$10:$D$13,MATCH(A348,Succès!$A$10:$A$13,0)),P348&gt;=INDEX(Succès!$E$10:$E$13,MATCH(A348,Succès!$A$10:$A$13,0))),"Succès complet",IF(P348&gt;=INDEX(Succès!$E$10:$E$13,MATCH(A348,Succès!$A$10:$A$13,0)),"Engagé, portée modeste",IF(L348&gt;=INDEX(Succès!$D$10:$D$13,MATCH(A348,Succès!$A$10:$A$13,0)),"Portée sans engagement","Standard")))</f>
        <v>Engagé, portée modeste</v>
      </c>
      <c r="T348" s="32">
        <f t="shared" si="23"/>
        <v>0</v>
      </c>
    </row>
    <row r="349" spans="1:20">
      <c r="A349" s="32" t="s">
        <v>49</v>
      </c>
      <c r="B349" s="32" t="s">
        <v>879</v>
      </c>
      <c r="C349" s="32" t="s">
        <v>829</v>
      </c>
      <c r="D349" s="32"/>
      <c r="E349" s="32" t="s">
        <v>93</v>
      </c>
      <c r="F349" s="32" t="s">
        <v>346</v>
      </c>
      <c r="G349" s="33">
        <v>5200000</v>
      </c>
      <c r="H349" s="32">
        <v>47</v>
      </c>
      <c r="I349" s="32">
        <v>2</v>
      </c>
      <c r="J349" s="32">
        <v>79</v>
      </c>
      <c r="K349" s="32">
        <v>1</v>
      </c>
      <c r="L349" s="33">
        <v>40200000</v>
      </c>
      <c r="M349" s="33">
        <v>8600000</v>
      </c>
      <c r="N349" s="33">
        <v>43300</v>
      </c>
      <c r="O349" s="33">
        <v>56800</v>
      </c>
      <c r="P349" s="34">
        <f t="shared" si="20"/>
        <v>0.21642039800995025</v>
      </c>
      <c r="Q349" s="34">
        <f t="shared" si="21"/>
        <v>0.21393034825870647</v>
      </c>
      <c r="R349" s="35">
        <f t="shared" si="22"/>
        <v>7.7307692307692308</v>
      </c>
      <c r="S349" s="32" t="str">
        <f>IF(AND(L349&gt;=INDEX(Succès!$D$10:$D$13,MATCH(A349,Succès!$A$10:$A$13,0)),P349&gt;=INDEX(Succès!$E$10:$E$13,MATCH(A349,Succès!$A$10:$A$13,0))),"Succès complet",IF(P349&gt;=INDEX(Succès!$E$10:$E$13,MATCH(A349,Succès!$A$10:$A$13,0)),"Engagé, portée modeste",IF(L349&gt;=INDEX(Succès!$D$10:$D$13,MATCH(A349,Succès!$A$10:$A$13,0)),"Portée sans engagement","Standard")))</f>
        <v>Engagé, portée modeste</v>
      </c>
      <c r="T349" s="32">
        <f t="shared" si="23"/>
        <v>0</v>
      </c>
    </row>
    <row r="350" spans="1:20">
      <c r="A350" s="32" t="s">
        <v>49</v>
      </c>
      <c r="B350" s="32" t="s">
        <v>880</v>
      </c>
      <c r="C350" s="32" t="s">
        <v>807</v>
      </c>
      <c r="D350" s="32"/>
      <c r="E350" s="32" t="s">
        <v>93</v>
      </c>
      <c r="F350" s="32" t="s">
        <v>341</v>
      </c>
      <c r="G350" s="33">
        <v>27400000</v>
      </c>
      <c r="H350" s="32">
        <v>9</v>
      </c>
      <c r="I350" s="32">
        <v>8</v>
      </c>
      <c r="J350" s="32">
        <v>62</v>
      </c>
      <c r="K350" s="32">
        <v>1</v>
      </c>
      <c r="L350" s="33">
        <v>45800000</v>
      </c>
      <c r="M350" s="33">
        <v>8400000</v>
      </c>
      <c r="N350" s="33">
        <v>69000</v>
      </c>
      <c r="O350" s="33">
        <v>57200</v>
      </c>
      <c r="P350" s="34">
        <f t="shared" si="20"/>
        <v>0.18616157205240175</v>
      </c>
      <c r="Q350" s="34">
        <f t="shared" si="21"/>
        <v>0.18340611353711792</v>
      </c>
      <c r="R350" s="35">
        <f t="shared" si="22"/>
        <v>1.6715328467153285</v>
      </c>
      <c r="S350" s="32" t="str">
        <f>IF(AND(L350&gt;=INDEX(Succès!$D$10:$D$13,MATCH(A350,Succès!$A$10:$A$13,0)),P350&gt;=INDEX(Succès!$E$10:$E$13,MATCH(A350,Succès!$A$10:$A$13,0))),"Succès complet",IF(P350&gt;=INDEX(Succès!$E$10:$E$13,MATCH(A350,Succès!$A$10:$A$13,0)),"Engagé, portée modeste",IF(L350&gt;=INDEX(Succès!$D$10:$D$13,MATCH(A350,Succès!$A$10:$A$13,0)),"Portée sans engagement","Standard")))</f>
        <v>Engagé, portée modeste</v>
      </c>
      <c r="T350" s="32">
        <f t="shared" si="23"/>
        <v>0</v>
      </c>
    </row>
    <row r="351" spans="1:20">
      <c r="A351" s="32" t="s">
        <v>49</v>
      </c>
      <c r="B351" s="32" t="s">
        <v>881</v>
      </c>
      <c r="C351" s="32" t="s">
        <v>882</v>
      </c>
      <c r="D351" s="32"/>
      <c r="E351" s="32" t="s">
        <v>93</v>
      </c>
      <c r="F351" s="32" t="s">
        <v>346</v>
      </c>
      <c r="G351" s="33">
        <v>4500000</v>
      </c>
      <c r="H351" s="32">
        <v>15</v>
      </c>
      <c r="I351" s="32">
        <v>8</v>
      </c>
      <c r="J351" s="32">
        <v>143</v>
      </c>
      <c r="K351" s="32">
        <v>1</v>
      </c>
      <c r="L351" s="33">
        <v>123200000</v>
      </c>
      <c r="M351" s="33">
        <v>8400000</v>
      </c>
      <c r="N351" s="33">
        <v>17700</v>
      </c>
      <c r="O351" s="33">
        <v>152800</v>
      </c>
      <c r="P351" s="34">
        <f t="shared" si="20"/>
        <v>6.9565746753246754E-2</v>
      </c>
      <c r="Q351" s="34">
        <f t="shared" si="21"/>
        <v>6.8181818181818177E-2</v>
      </c>
      <c r="R351" s="35">
        <f t="shared" si="22"/>
        <v>27.377777777777776</v>
      </c>
      <c r="S351" s="32" t="str">
        <f>IF(AND(L351&gt;=INDEX(Succès!$D$10:$D$13,MATCH(A351,Succès!$A$10:$A$13,0)),P351&gt;=INDEX(Succès!$E$10:$E$13,MATCH(A351,Succès!$A$10:$A$13,0))),"Succès complet",IF(P351&gt;=INDEX(Succès!$E$10:$E$13,MATCH(A351,Succès!$A$10:$A$13,0)),"Engagé, portée modeste",IF(L351&gt;=INDEX(Succès!$D$10:$D$13,MATCH(A351,Succès!$A$10:$A$13,0)),"Portée sans engagement","Standard")))</f>
        <v>Portée sans engagement</v>
      </c>
      <c r="T351" s="32">
        <f t="shared" si="23"/>
        <v>0</v>
      </c>
    </row>
    <row r="352" spans="1:20">
      <c r="A352" s="32" t="s">
        <v>49</v>
      </c>
      <c r="B352" s="32" t="s">
        <v>883</v>
      </c>
      <c r="C352" s="32" t="s">
        <v>884</v>
      </c>
      <c r="D352" s="32"/>
      <c r="E352" s="32" t="s">
        <v>93</v>
      </c>
      <c r="F352" s="32" t="s">
        <v>346</v>
      </c>
      <c r="G352" s="33">
        <v>7300000</v>
      </c>
      <c r="H352" s="32">
        <v>47</v>
      </c>
      <c r="I352" s="32">
        <v>7</v>
      </c>
      <c r="J352" s="32">
        <v>112</v>
      </c>
      <c r="K352" s="32">
        <v>0</v>
      </c>
      <c r="L352" s="33">
        <v>56600000</v>
      </c>
      <c r="M352" s="33">
        <v>8300000</v>
      </c>
      <c r="N352" s="33">
        <v>55900</v>
      </c>
      <c r="O352" s="33">
        <v>414200</v>
      </c>
      <c r="P352" s="34">
        <f t="shared" si="20"/>
        <v>0.15494876325088339</v>
      </c>
      <c r="Q352" s="34">
        <f t="shared" si="21"/>
        <v>0.14664310954063603</v>
      </c>
      <c r="R352" s="35">
        <f t="shared" si="22"/>
        <v>7.7534246575342465</v>
      </c>
      <c r="S352" s="32" t="str">
        <f>IF(AND(L352&gt;=INDEX(Succès!$D$10:$D$13,MATCH(A352,Succès!$A$10:$A$13,0)),P352&gt;=INDEX(Succès!$E$10:$E$13,MATCH(A352,Succès!$A$10:$A$13,0))),"Succès complet",IF(P352&gt;=INDEX(Succès!$E$10:$E$13,MATCH(A352,Succès!$A$10:$A$13,0)),"Engagé, portée modeste",IF(L352&gt;=INDEX(Succès!$D$10:$D$13,MATCH(A352,Succès!$A$10:$A$13,0)),"Portée sans engagement","Standard")))</f>
        <v>Portée sans engagement</v>
      </c>
      <c r="T352" s="32">
        <f t="shared" si="23"/>
        <v>0</v>
      </c>
    </row>
    <row r="353" spans="1:20">
      <c r="A353" s="32" t="s">
        <v>49</v>
      </c>
      <c r="B353" s="32" t="s">
        <v>885</v>
      </c>
      <c r="C353" s="32" t="s">
        <v>886</v>
      </c>
      <c r="D353" s="32"/>
      <c r="E353" s="32" t="s">
        <v>93</v>
      </c>
      <c r="F353" s="32" t="s">
        <v>341</v>
      </c>
      <c r="G353" s="33">
        <v>4400000</v>
      </c>
      <c r="H353" s="32">
        <v>14</v>
      </c>
      <c r="I353" s="32">
        <v>9</v>
      </c>
      <c r="J353" s="32">
        <v>69</v>
      </c>
      <c r="K353" s="32">
        <v>1</v>
      </c>
      <c r="L353" s="33">
        <v>44500000</v>
      </c>
      <c r="M353" s="33">
        <v>8300000</v>
      </c>
      <c r="N353" s="33">
        <v>93800</v>
      </c>
      <c r="O353" s="33">
        <v>290600</v>
      </c>
      <c r="P353" s="34">
        <f t="shared" si="20"/>
        <v>0.19515505617977527</v>
      </c>
      <c r="Q353" s="34">
        <f t="shared" si="21"/>
        <v>0.18651685393258427</v>
      </c>
      <c r="R353" s="35">
        <f t="shared" si="22"/>
        <v>10.113636363636363</v>
      </c>
      <c r="S353" s="32" t="str">
        <f>IF(AND(L353&gt;=INDEX(Succès!$D$10:$D$13,MATCH(A353,Succès!$A$10:$A$13,0)),P353&gt;=INDEX(Succès!$E$10:$E$13,MATCH(A353,Succès!$A$10:$A$13,0))),"Succès complet",IF(P353&gt;=INDEX(Succès!$E$10:$E$13,MATCH(A353,Succès!$A$10:$A$13,0)),"Engagé, portée modeste",IF(L353&gt;=INDEX(Succès!$D$10:$D$13,MATCH(A353,Succès!$A$10:$A$13,0)),"Portée sans engagement","Standard")))</f>
        <v>Engagé, portée modeste</v>
      </c>
      <c r="T353" s="32">
        <f t="shared" si="23"/>
        <v>0</v>
      </c>
    </row>
    <row r="354" spans="1:20">
      <c r="A354" s="32" t="s">
        <v>49</v>
      </c>
      <c r="B354" s="32" t="s">
        <v>887</v>
      </c>
      <c r="C354" s="32" t="s">
        <v>262</v>
      </c>
      <c r="D354" s="32" t="s">
        <v>260</v>
      </c>
      <c r="E354" s="32" t="s">
        <v>93</v>
      </c>
      <c r="F354" s="32" t="s">
        <v>346</v>
      </c>
      <c r="G354" s="33">
        <v>499800</v>
      </c>
      <c r="H354" s="32">
        <v>170</v>
      </c>
      <c r="I354" s="32">
        <v>9</v>
      </c>
      <c r="J354" s="32">
        <v>75</v>
      </c>
      <c r="K354" s="32">
        <v>1</v>
      </c>
      <c r="L354" s="33">
        <v>28800000</v>
      </c>
      <c r="M354" s="33">
        <v>8200000</v>
      </c>
      <c r="N354" s="33">
        <v>74600</v>
      </c>
      <c r="O354" s="33">
        <v>227600</v>
      </c>
      <c r="P354" s="34">
        <f t="shared" si="20"/>
        <v>0.29521527777777778</v>
      </c>
      <c r="Q354" s="34">
        <f t="shared" si="21"/>
        <v>0.28472222222222221</v>
      </c>
      <c r="R354" s="35">
        <f t="shared" si="22"/>
        <v>57.623049219687879</v>
      </c>
      <c r="S354" s="32" t="str">
        <f>IF(AND(L354&gt;=INDEX(Succès!$D$10:$D$13,MATCH(A354,Succès!$A$10:$A$13,0)),P354&gt;=INDEX(Succès!$E$10:$E$13,MATCH(A354,Succès!$A$10:$A$13,0))),"Succès complet",IF(P354&gt;=INDEX(Succès!$E$10:$E$13,MATCH(A354,Succès!$A$10:$A$13,0)),"Engagé, portée modeste",IF(L354&gt;=INDEX(Succès!$D$10:$D$13,MATCH(A354,Succès!$A$10:$A$13,0)),"Portée sans engagement","Standard")))</f>
        <v>Engagé, portée modeste</v>
      </c>
      <c r="T354" s="32">
        <f t="shared" si="23"/>
        <v>0</v>
      </c>
    </row>
    <row r="355" spans="1:20">
      <c r="A355" s="32" t="s">
        <v>49</v>
      </c>
      <c r="B355" s="32" t="s">
        <v>888</v>
      </c>
      <c r="C355" s="32" t="s">
        <v>803</v>
      </c>
      <c r="D355" s="32"/>
      <c r="E355" s="32" t="s">
        <v>93</v>
      </c>
      <c r="F355" s="32" t="s">
        <v>341</v>
      </c>
      <c r="G355" s="33">
        <v>7900000</v>
      </c>
      <c r="H355" s="32">
        <v>15</v>
      </c>
      <c r="I355" s="32">
        <v>10</v>
      </c>
      <c r="J355" s="32">
        <v>143</v>
      </c>
      <c r="K355" s="32">
        <v>1</v>
      </c>
      <c r="L355" s="33">
        <v>46800000</v>
      </c>
      <c r="M355" s="33">
        <v>8100000</v>
      </c>
      <c r="N355" s="33">
        <v>44300</v>
      </c>
      <c r="O355" s="33">
        <v>268400</v>
      </c>
      <c r="P355" s="34">
        <f t="shared" si="20"/>
        <v>0.17975854700854701</v>
      </c>
      <c r="Q355" s="34">
        <f t="shared" si="21"/>
        <v>0.17307692307692307</v>
      </c>
      <c r="R355" s="35">
        <f t="shared" si="22"/>
        <v>5.924050632911392</v>
      </c>
      <c r="S355" s="32" t="str">
        <f>IF(AND(L355&gt;=INDEX(Succès!$D$10:$D$13,MATCH(A355,Succès!$A$10:$A$13,0)),P355&gt;=INDEX(Succès!$E$10:$E$13,MATCH(A355,Succès!$A$10:$A$13,0))),"Succès complet",IF(P355&gt;=INDEX(Succès!$E$10:$E$13,MATCH(A355,Succès!$A$10:$A$13,0)),"Engagé, portée modeste",IF(L355&gt;=INDEX(Succès!$D$10:$D$13,MATCH(A355,Succès!$A$10:$A$13,0)),"Portée sans engagement","Standard")))</f>
        <v>Engagé, portée modeste</v>
      </c>
      <c r="T355" s="32">
        <f t="shared" si="23"/>
        <v>0</v>
      </c>
    </row>
    <row r="356" spans="1:20">
      <c r="A356" s="32" t="s">
        <v>49</v>
      </c>
      <c r="B356" s="32" t="s">
        <v>889</v>
      </c>
      <c r="C356" s="32" t="s">
        <v>890</v>
      </c>
      <c r="D356" s="32"/>
      <c r="E356" s="32" t="s">
        <v>93</v>
      </c>
      <c r="F356" s="32" t="s">
        <v>341</v>
      </c>
      <c r="G356" s="33">
        <v>1400000</v>
      </c>
      <c r="H356" s="32">
        <v>30</v>
      </c>
      <c r="I356" s="32">
        <v>3</v>
      </c>
      <c r="J356" s="32">
        <v>45</v>
      </c>
      <c r="K356" s="32">
        <v>1</v>
      </c>
      <c r="L356" s="33">
        <v>50900000</v>
      </c>
      <c r="M356" s="33">
        <v>8100000</v>
      </c>
      <c r="N356" s="33">
        <v>64900</v>
      </c>
      <c r="O356" s="33">
        <v>276100</v>
      </c>
      <c r="P356" s="34">
        <f t="shared" si="20"/>
        <v>0.16583497053045188</v>
      </c>
      <c r="Q356" s="34">
        <f t="shared" si="21"/>
        <v>0.15913555992141454</v>
      </c>
      <c r="R356" s="35">
        <f t="shared" si="22"/>
        <v>36.357142857142854</v>
      </c>
      <c r="S356" s="32" t="str">
        <f>IF(AND(L356&gt;=INDEX(Succès!$D$10:$D$13,MATCH(A356,Succès!$A$10:$A$13,0)),P356&gt;=INDEX(Succès!$E$10:$E$13,MATCH(A356,Succès!$A$10:$A$13,0))),"Succès complet",IF(P356&gt;=INDEX(Succès!$E$10:$E$13,MATCH(A356,Succès!$A$10:$A$13,0)),"Engagé, portée modeste",IF(L356&gt;=INDEX(Succès!$D$10:$D$13,MATCH(A356,Succès!$A$10:$A$13,0)),"Portée sans engagement","Standard")))</f>
        <v>Engagé, portée modeste</v>
      </c>
      <c r="T356" s="32">
        <f t="shared" si="23"/>
        <v>0</v>
      </c>
    </row>
    <row r="357" spans="1:20">
      <c r="A357" s="32" t="s">
        <v>49</v>
      </c>
      <c r="B357" s="32" t="s">
        <v>891</v>
      </c>
      <c r="C357" s="32" t="s">
        <v>892</v>
      </c>
      <c r="D357" s="32"/>
      <c r="E357" s="32" t="s">
        <v>93</v>
      </c>
      <c r="F357" s="32" t="s">
        <v>346</v>
      </c>
      <c r="G357" s="33">
        <v>2400000</v>
      </c>
      <c r="H357" s="32">
        <v>16</v>
      </c>
      <c r="I357" s="32">
        <v>7</v>
      </c>
      <c r="J357" s="32">
        <v>55</v>
      </c>
      <c r="K357" s="32">
        <v>1</v>
      </c>
      <c r="L357" s="33">
        <v>77000000</v>
      </c>
      <c r="M357" s="33">
        <v>8000000</v>
      </c>
      <c r="N357" s="33">
        <v>63100</v>
      </c>
      <c r="O357" s="33">
        <v>131900</v>
      </c>
      <c r="P357" s="34">
        <f t="shared" si="20"/>
        <v>0.10642857142857143</v>
      </c>
      <c r="Q357" s="34">
        <f t="shared" si="21"/>
        <v>0.1038961038961039</v>
      </c>
      <c r="R357" s="35">
        <f t="shared" si="22"/>
        <v>32.083333333333336</v>
      </c>
      <c r="S357" s="32" t="str">
        <f>IF(AND(L357&gt;=INDEX(Succès!$D$10:$D$13,MATCH(A357,Succès!$A$10:$A$13,0)),P357&gt;=INDEX(Succès!$E$10:$E$13,MATCH(A357,Succès!$A$10:$A$13,0))),"Succès complet",IF(P357&gt;=INDEX(Succès!$E$10:$E$13,MATCH(A357,Succès!$A$10:$A$13,0)),"Engagé, portée modeste",IF(L357&gt;=INDEX(Succès!$D$10:$D$13,MATCH(A357,Succès!$A$10:$A$13,0)),"Portée sans engagement","Standard")))</f>
        <v>Portée sans engagement</v>
      </c>
      <c r="T357" s="32">
        <f t="shared" si="23"/>
        <v>0</v>
      </c>
    </row>
    <row r="358" spans="1:20">
      <c r="A358" s="32" t="s">
        <v>49</v>
      </c>
      <c r="B358" s="32" t="s">
        <v>893</v>
      </c>
      <c r="C358" s="32" t="s">
        <v>894</v>
      </c>
      <c r="D358" s="32"/>
      <c r="E358" s="32" t="s">
        <v>93</v>
      </c>
      <c r="F358" s="32" t="s">
        <v>346</v>
      </c>
      <c r="G358" s="33">
        <v>1100000</v>
      </c>
      <c r="H358" s="32">
        <v>6</v>
      </c>
      <c r="I358" s="32">
        <v>10</v>
      </c>
      <c r="J358" s="32">
        <v>119</v>
      </c>
      <c r="K358" s="32">
        <v>1</v>
      </c>
      <c r="L358" s="33">
        <v>100600000</v>
      </c>
      <c r="M358" s="33">
        <v>7900000</v>
      </c>
      <c r="N358" s="33">
        <v>80400</v>
      </c>
      <c r="O358" s="33">
        <v>488400</v>
      </c>
      <c r="P358" s="34">
        <f t="shared" si="20"/>
        <v>8.4182902584493041E-2</v>
      </c>
      <c r="Q358" s="34">
        <f t="shared" si="21"/>
        <v>7.8528827037773363E-2</v>
      </c>
      <c r="R358" s="35">
        <f t="shared" si="22"/>
        <v>91.454545454545453</v>
      </c>
      <c r="S358" s="32" t="str">
        <f>IF(AND(L358&gt;=INDEX(Succès!$D$10:$D$13,MATCH(A358,Succès!$A$10:$A$13,0)),P358&gt;=INDEX(Succès!$E$10:$E$13,MATCH(A358,Succès!$A$10:$A$13,0))),"Succès complet",IF(P358&gt;=INDEX(Succès!$E$10:$E$13,MATCH(A358,Succès!$A$10:$A$13,0)),"Engagé, portée modeste",IF(L358&gt;=INDEX(Succès!$D$10:$D$13,MATCH(A358,Succès!$A$10:$A$13,0)),"Portée sans engagement","Standard")))</f>
        <v>Portée sans engagement</v>
      </c>
      <c r="T358" s="32">
        <f t="shared" si="23"/>
        <v>0</v>
      </c>
    </row>
    <row r="359" spans="1:20">
      <c r="A359" s="32" t="s">
        <v>49</v>
      </c>
      <c r="B359" s="32" t="s">
        <v>895</v>
      </c>
      <c r="C359" s="32" t="s">
        <v>896</v>
      </c>
      <c r="D359" s="32"/>
      <c r="E359" s="32" t="s">
        <v>93</v>
      </c>
      <c r="F359" s="32" t="s">
        <v>346</v>
      </c>
      <c r="G359" s="33">
        <v>533300</v>
      </c>
      <c r="H359" s="32">
        <v>59</v>
      </c>
      <c r="I359" s="32">
        <v>6</v>
      </c>
      <c r="J359" s="32">
        <v>88</v>
      </c>
      <c r="K359" s="32">
        <v>1</v>
      </c>
      <c r="L359" s="33">
        <v>42700000</v>
      </c>
      <c r="M359" s="33">
        <v>7800000</v>
      </c>
      <c r="N359" s="33">
        <v>0</v>
      </c>
      <c r="O359" s="33">
        <v>256300</v>
      </c>
      <c r="P359" s="34">
        <f t="shared" si="20"/>
        <v>0.18867213114754097</v>
      </c>
      <c r="Q359" s="34">
        <f t="shared" si="21"/>
        <v>0.18266978922716628</v>
      </c>
      <c r="R359" s="35">
        <f t="shared" si="22"/>
        <v>80.067504219013685</v>
      </c>
      <c r="S359" s="32" t="str">
        <f>IF(AND(L359&gt;=INDEX(Succès!$D$10:$D$13,MATCH(A359,Succès!$A$10:$A$13,0)),P359&gt;=INDEX(Succès!$E$10:$E$13,MATCH(A359,Succès!$A$10:$A$13,0))),"Succès complet",IF(P359&gt;=INDEX(Succès!$E$10:$E$13,MATCH(A359,Succès!$A$10:$A$13,0)),"Engagé, portée modeste",IF(L359&gt;=INDEX(Succès!$D$10:$D$13,MATCH(A359,Succès!$A$10:$A$13,0)),"Portée sans engagement","Standard")))</f>
        <v>Engagé, portée modeste</v>
      </c>
      <c r="T359" s="32">
        <f t="shared" si="23"/>
        <v>0</v>
      </c>
    </row>
    <row r="360" spans="1:20">
      <c r="A360" s="32" t="s">
        <v>49</v>
      </c>
      <c r="B360" s="32" t="s">
        <v>897</v>
      </c>
      <c r="C360" s="32" t="s">
        <v>807</v>
      </c>
      <c r="D360" s="32"/>
      <c r="E360" s="32" t="s">
        <v>93</v>
      </c>
      <c r="F360" s="32" t="s">
        <v>341</v>
      </c>
      <c r="G360" s="33">
        <v>27400000</v>
      </c>
      <c r="H360" s="32">
        <v>9</v>
      </c>
      <c r="I360" s="32">
        <v>8</v>
      </c>
      <c r="J360" s="32">
        <v>63</v>
      </c>
      <c r="K360" s="32">
        <v>1</v>
      </c>
      <c r="L360" s="33">
        <v>71500000</v>
      </c>
      <c r="M360" s="33">
        <v>7800000</v>
      </c>
      <c r="N360" s="33">
        <v>47700</v>
      </c>
      <c r="O360" s="33">
        <v>43900</v>
      </c>
      <c r="P360" s="34">
        <f t="shared" si="20"/>
        <v>0.11037202797202797</v>
      </c>
      <c r="Q360" s="34">
        <f t="shared" si="21"/>
        <v>0.10909090909090909</v>
      </c>
      <c r="R360" s="35">
        <f t="shared" si="22"/>
        <v>2.6094890510948905</v>
      </c>
      <c r="S360" s="32" t="str">
        <f>IF(AND(L360&gt;=INDEX(Succès!$D$10:$D$13,MATCH(A360,Succès!$A$10:$A$13,0)),P360&gt;=INDEX(Succès!$E$10:$E$13,MATCH(A360,Succès!$A$10:$A$13,0))),"Succès complet",IF(P360&gt;=INDEX(Succès!$E$10:$E$13,MATCH(A360,Succès!$A$10:$A$13,0)),"Engagé, portée modeste",IF(L360&gt;=INDEX(Succès!$D$10:$D$13,MATCH(A360,Succès!$A$10:$A$13,0)),"Portée sans engagement","Standard")))</f>
        <v>Portée sans engagement</v>
      </c>
      <c r="T360" s="32">
        <f t="shared" si="23"/>
        <v>0</v>
      </c>
    </row>
    <row r="361" spans="1:20">
      <c r="A361" s="32" t="s">
        <v>49</v>
      </c>
      <c r="B361" s="32" t="s">
        <v>898</v>
      </c>
      <c r="C361" s="32" t="s">
        <v>899</v>
      </c>
      <c r="D361" s="32"/>
      <c r="E361" s="32" t="s">
        <v>93</v>
      </c>
      <c r="F361" s="32" t="s">
        <v>346</v>
      </c>
      <c r="G361" s="33">
        <v>1900000</v>
      </c>
      <c r="H361" s="32">
        <v>19</v>
      </c>
      <c r="I361" s="32">
        <v>5</v>
      </c>
      <c r="J361" s="32">
        <v>79</v>
      </c>
      <c r="K361" s="32">
        <v>1</v>
      </c>
      <c r="L361" s="33">
        <v>142900000</v>
      </c>
      <c r="M361" s="33">
        <v>7800000</v>
      </c>
      <c r="N361" s="33">
        <v>13600</v>
      </c>
      <c r="O361" s="33">
        <v>49800</v>
      </c>
      <c r="P361" s="34">
        <f t="shared" si="20"/>
        <v>5.5027291812456261E-2</v>
      </c>
      <c r="Q361" s="34">
        <f t="shared" si="21"/>
        <v>5.4583624912526239E-2</v>
      </c>
      <c r="R361" s="35">
        <f t="shared" si="22"/>
        <v>75.21052631578948</v>
      </c>
      <c r="S361" s="32" t="str">
        <f>IF(AND(L361&gt;=INDEX(Succès!$D$10:$D$13,MATCH(A361,Succès!$A$10:$A$13,0)),P361&gt;=INDEX(Succès!$E$10:$E$13,MATCH(A361,Succès!$A$10:$A$13,0))),"Succès complet",IF(P361&gt;=INDEX(Succès!$E$10:$E$13,MATCH(A361,Succès!$A$10:$A$13,0)),"Engagé, portée modeste",IF(L361&gt;=INDEX(Succès!$D$10:$D$13,MATCH(A361,Succès!$A$10:$A$13,0)),"Portée sans engagement","Standard")))</f>
        <v>Portée sans engagement</v>
      </c>
      <c r="T361" s="32">
        <f t="shared" si="23"/>
        <v>0</v>
      </c>
    </row>
    <row r="362" spans="1:20">
      <c r="A362" s="32" t="s">
        <v>49</v>
      </c>
      <c r="B362" s="32" t="s">
        <v>900</v>
      </c>
      <c r="C362" s="32" t="s">
        <v>803</v>
      </c>
      <c r="D362" s="32"/>
      <c r="E362" s="32" t="s">
        <v>93</v>
      </c>
      <c r="F362" s="32" t="s">
        <v>341</v>
      </c>
      <c r="G362" s="33">
        <v>7900000</v>
      </c>
      <c r="H362" s="32">
        <v>16</v>
      </c>
      <c r="I362" s="32">
        <v>9</v>
      </c>
      <c r="J362" s="32">
        <v>146</v>
      </c>
      <c r="K362" s="32">
        <v>1</v>
      </c>
      <c r="L362" s="33">
        <v>50100000</v>
      </c>
      <c r="M362" s="33">
        <v>7700000</v>
      </c>
      <c r="N362" s="33">
        <v>85600</v>
      </c>
      <c r="O362" s="33">
        <v>198400</v>
      </c>
      <c r="P362" s="34">
        <f t="shared" si="20"/>
        <v>0.15936127744510978</v>
      </c>
      <c r="Q362" s="34">
        <f t="shared" si="21"/>
        <v>0.15369261477045909</v>
      </c>
      <c r="R362" s="35">
        <f t="shared" si="22"/>
        <v>6.3417721518987342</v>
      </c>
      <c r="S362" s="32" t="str">
        <f>IF(AND(L362&gt;=INDEX(Succès!$D$10:$D$13,MATCH(A362,Succès!$A$10:$A$13,0)),P362&gt;=INDEX(Succès!$E$10:$E$13,MATCH(A362,Succès!$A$10:$A$13,0))),"Succès complet",IF(P362&gt;=INDEX(Succès!$E$10:$E$13,MATCH(A362,Succès!$A$10:$A$13,0)),"Engagé, portée modeste",IF(L362&gt;=INDEX(Succès!$D$10:$D$13,MATCH(A362,Succès!$A$10:$A$13,0)),"Portée sans engagement","Standard")))</f>
        <v>Standard</v>
      </c>
      <c r="T362" s="32">
        <f t="shared" si="23"/>
        <v>0</v>
      </c>
    </row>
    <row r="363" spans="1:20">
      <c r="A363" s="32" t="s">
        <v>49</v>
      </c>
      <c r="B363" s="32" t="s">
        <v>901</v>
      </c>
      <c r="C363" s="32" t="s">
        <v>902</v>
      </c>
      <c r="D363" s="32"/>
      <c r="E363" s="32" t="s">
        <v>93</v>
      </c>
      <c r="F363" s="32" t="s">
        <v>346</v>
      </c>
      <c r="G363" s="33">
        <v>257600</v>
      </c>
      <c r="H363" s="32">
        <v>38</v>
      </c>
      <c r="I363" s="32">
        <v>2</v>
      </c>
      <c r="J363" s="32">
        <v>50</v>
      </c>
      <c r="K363" s="32">
        <v>1</v>
      </c>
      <c r="L363" s="33">
        <v>36000000</v>
      </c>
      <c r="M363" s="33">
        <v>7700000</v>
      </c>
      <c r="N363" s="33">
        <v>69400</v>
      </c>
      <c r="O363" s="33">
        <v>226400</v>
      </c>
      <c r="P363" s="34">
        <f t="shared" si="20"/>
        <v>0.22210555555555556</v>
      </c>
      <c r="Q363" s="34">
        <f t="shared" si="21"/>
        <v>0.21388888888888888</v>
      </c>
      <c r="R363" s="35">
        <f t="shared" si="22"/>
        <v>139.75155279503105</v>
      </c>
      <c r="S363" s="32" t="str">
        <f>IF(AND(L363&gt;=INDEX(Succès!$D$10:$D$13,MATCH(A363,Succès!$A$10:$A$13,0)),P363&gt;=INDEX(Succès!$E$10:$E$13,MATCH(A363,Succès!$A$10:$A$13,0))),"Succès complet",IF(P363&gt;=INDEX(Succès!$E$10:$E$13,MATCH(A363,Succès!$A$10:$A$13,0)),"Engagé, portée modeste",IF(L363&gt;=INDEX(Succès!$D$10:$D$13,MATCH(A363,Succès!$A$10:$A$13,0)),"Portée sans engagement","Standard")))</f>
        <v>Engagé, portée modeste</v>
      </c>
      <c r="T363" s="32">
        <f t="shared" si="23"/>
        <v>0</v>
      </c>
    </row>
    <row r="364" spans="1:20">
      <c r="A364" s="32" t="s">
        <v>49</v>
      </c>
      <c r="B364" s="32" t="s">
        <v>903</v>
      </c>
      <c r="C364" s="32" t="s">
        <v>904</v>
      </c>
      <c r="D364" s="32"/>
      <c r="E364" s="32" t="s">
        <v>93</v>
      </c>
      <c r="F364" s="32" t="s">
        <v>341</v>
      </c>
      <c r="G364" s="33">
        <v>10500000</v>
      </c>
      <c r="H364" s="32">
        <v>43</v>
      </c>
      <c r="I364" s="32">
        <v>2</v>
      </c>
      <c r="J364" s="32">
        <v>77</v>
      </c>
      <c r="K364" s="32">
        <v>0</v>
      </c>
      <c r="L364" s="33">
        <v>30500000</v>
      </c>
      <c r="M364" s="33">
        <v>7700000</v>
      </c>
      <c r="N364" s="33">
        <v>56200</v>
      </c>
      <c r="O364" s="33">
        <v>202800</v>
      </c>
      <c r="P364" s="34">
        <f t="shared" si="20"/>
        <v>0.26095081967213113</v>
      </c>
      <c r="Q364" s="34">
        <f t="shared" si="21"/>
        <v>0.25245901639344265</v>
      </c>
      <c r="R364" s="35">
        <f t="shared" si="22"/>
        <v>2.9047619047619047</v>
      </c>
      <c r="S364" s="32" t="str">
        <f>IF(AND(L364&gt;=INDEX(Succès!$D$10:$D$13,MATCH(A364,Succès!$A$10:$A$13,0)),P364&gt;=INDEX(Succès!$E$10:$E$13,MATCH(A364,Succès!$A$10:$A$13,0))),"Succès complet",IF(P364&gt;=INDEX(Succès!$E$10:$E$13,MATCH(A364,Succès!$A$10:$A$13,0)),"Engagé, portée modeste",IF(L364&gt;=INDEX(Succès!$D$10:$D$13,MATCH(A364,Succès!$A$10:$A$13,0)),"Portée sans engagement","Standard")))</f>
        <v>Engagé, portée modeste</v>
      </c>
      <c r="T364" s="32">
        <f t="shared" si="23"/>
        <v>0</v>
      </c>
    </row>
    <row r="365" spans="1:20">
      <c r="A365" s="32" t="s">
        <v>49</v>
      </c>
      <c r="B365" s="32" t="s">
        <v>905</v>
      </c>
      <c r="C365" s="32" t="s">
        <v>906</v>
      </c>
      <c r="D365" s="32"/>
      <c r="E365" s="32" t="s">
        <v>93</v>
      </c>
      <c r="F365" s="32" t="s">
        <v>346</v>
      </c>
      <c r="G365" s="33">
        <v>516000</v>
      </c>
      <c r="H365" s="32">
        <v>8</v>
      </c>
      <c r="I365" s="32">
        <v>9</v>
      </c>
      <c r="J365" s="32">
        <v>100</v>
      </c>
      <c r="K365" s="32">
        <v>1</v>
      </c>
      <c r="L365" s="33">
        <v>40800000</v>
      </c>
      <c r="M365" s="33">
        <v>7700000</v>
      </c>
      <c r="N365" s="33">
        <v>55300</v>
      </c>
      <c r="O365" s="33">
        <v>620400</v>
      </c>
      <c r="P365" s="34">
        <f t="shared" si="20"/>
        <v>0.20528676470588236</v>
      </c>
      <c r="Q365" s="34">
        <f t="shared" si="21"/>
        <v>0.18872549019607843</v>
      </c>
      <c r="R365" s="35">
        <f t="shared" si="22"/>
        <v>79.069767441860463</v>
      </c>
      <c r="S365" s="32" t="str">
        <f>IF(AND(L365&gt;=INDEX(Succès!$D$10:$D$13,MATCH(A365,Succès!$A$10:$A$13,0)),P365&gt;=INDEX(Succès!$E$10:$E$13,MATCH(A365,Succès!$A$10:$A$13,0))),"Succès complet",IF(P365&gt;=INDEX(Succès!$E$10:$E$13,MATCH(A365,Succès!$A$10:$A$13,0)),"Engagé, portée modeste",IF(L365&gt;=INDEX(Succès!$D$10:$D$13,MATCH(A365,Succès!$A$10:$A$13,0)),"Portée sans engagement","Standard")))</f>
        <v>Engagé, portée modeste</v>
      </c>
      <c r="T365" s="32">
        <f t="shared" si="23"/>
        <v>0</v>
      </c>
    </row>
    <row r="366" spans="1:20">
      <c r="A366" s="32" t="s">
        <v>49</v>
      </c>
      <c r="B366" s="32" t="s">
        <v>907</v>
      </c>
      <c r="C366" s="32" t="s">
        <v>859</v>
      </c>
      <c r="D366" s="32"/>
      <c r="E366" s="32" t="s">
        <v>93</v>
      </c>
      <c r="F366" s="32" t="s">
        <v>341</v>
      </c>
      <c r="G366" s="33">
        <v>8700000</v>
      </c>
      <c r="H366" s="32">
        <v>7</v>
      </c>
      <c r="I366" s="32">
        <v>8</v>
      </c>
      <c r="J366" s="32">
        <v>90</v>
      </c>
      <c r="K366" s="32">
        <v>1</v>
      </c>
      <c r="L366" s="33">
        <v>50700000</v>
      </c>
      <c r="M366" s="33">
        <v>7600000</v>
      </c>
      <c r="N366" s="33">
        <v>77100</v>
      </c>
      <c r="O366" s="33">
        <v>478500</v>
      </c>
      <c r="P366" s="34">
        <f t="shared" si="20"/>
        <v>0.16085996055226826</v>
      </c>
      <c r="Q366" s="34">
        <f t="shared" si="21"/>
        <v>0.14990138067061143</v>
      </c>
      <c r="R366" s="35">
        <f t="shared" si="22"/>
        <v>5.8275862068965516</v>
      </c>
      <c r="S366" s="32" t="str">
        <f>IF(AND(L366&gt;=INDEX(Succès!$D$10:$D$13,MATCH(A366,Succès!$A$10:$A$13,0)),P366&gt;=INDEX(Succès!$E$10:$E$13,MATCH(A366,Succès!$A$10:$A$13,0))),"Succès complet",IF(P366&gt;=INDEX(Succès!$E$10:$E$13,MATCH(A366,Succès!$A$10:$A$13,0)),"Engagé, portée modeste",IF(L366&gt;=INDEX(Succès!$D$10:$D$13,MATCH(A366,Succès!$A$10:$A$13,0)),"Portée sans engagement","Standard")))</f>
        <v>Standard</v>
      </c>
      <c r="T366" s="32">
        <f t="shared" si="23"/>
        <v>0</v>
      </c>
    </row>
    <row r="367" spans="1:20">
      <c r="A367" s="32" t="s">
        <v>49</v>
      </c>
      <c r="B367" s="32" t="s">
        <v>908</v>
      </c>
      <c r="C367" s="32" t="s">
        <v>909</v>
      </c>
      <c r="D367" s="32"/>
      <c r="E367" s="32" t="s">
        <v>93</v>
      </c>
      <c r="F367" s="32" t="s">
        <v>346</v>
      </c>
      <c r="G367" s="33">
        <v>1300000</v>
      </c>
      <c r="H367" s="32">
        <v>56</v>
      </c>
      <c r="I367" s="32">
        <v>17</v>
      </c>
      <c r="J367" s="32">
        <v>147</v>
      </c>
      <c r="K367" s="32">
        <v>1</v>
      </c>
      <c r="L367" s="33">
        <v>102000000</v>
      </c>
      <c r="M367" s="33">
        <v>7600000</v>
      </c>
      <c r="N367" s="33">
        <v>114600</v>
      </c>
      <c r="O367" s="33">
        <v>473400</v>
      </c>
      <c r="P367" s="34">
        <f t="shared" si="20"/>
        <v>8.0274509803921562E-2</v>
      </c>
      <c r="Q367" s="34">
        <f t="shared" si="21"/>
        <v>7.4509803921568626E-2</v>
      </c>
      <c r="R367" s="35">
        <f t="shared" si="22"/>
        <v>78.461538461538467</v>
      </c>
      <c r="S367" s="32" t="str">
        <f>IF(AND(L367&gt;=INDEX(Succès!$D$10:$D$13,MATCH(A367,Succès!$A$10:$A$13,0)),P367&gt;=INDEX(Succès!$E$10:$E$13,MATCH(A367,Succès!$A$10:$A$13,0))),"Succès complet",IF(P367&gt;=INDEX(Succès!$E$10:$E$13,MATCH(A367,Succès!$A$10:$A$13,0)),"Engagé, portée modeste",IF(L367&gt;=INDEX(Succès!$D$10:$D$13,MATCH(A367,Succès!$A$10:$A$13,0)),"Portée sans engagement","Standard")))</f>
        <v>Portée sans engagement</v>
      </c>
      <c r="T367" s="32">
        <f t="shared" si="23"/>
        <v>0</v>
      </c>
    </row>
    <row r="368" spans="1:20">
      <c r="A368" s="32" t="s">
        <v>49</v>
      </c>
      <c r="B368" s="32" t="s">
        <v>910</v>
      </c>
      <c r="C368" s="32" t="s">
        <v>911</v>
      </c>
      <c r="D368" s="32"/>
      <c r="E368" s="32" t="s">
        <v>93</v>
      </c>
      <c r="F368" s="32" t="s">
        <v>346</v>
      </c>
      <c r="G368" s="33">
        <v>398400</v>
      </c>
      <c r="H368" s="32">
        <v>15</v>
      </c>
      <c r="I368" s="32">
        <v>7</v>
      </c>
      <c r="J368" s="32">
        <v>83</v>
      </c>
      <c r="K368" s="32">
        <v>1</v>
      </c>
      <c r="L368" s="33">
        <v>97200000</v>
      </c>
      <c r="M368" s="33">
        <v>7600000</v>
      </c>
      <c r="N368" s="33">
        <v>44500</v>
      </c>
      <c r="O368" s="33">
        <v>66600</v>
      </c>
      <c r="P368" s="34">
        <f t="shared" si="20"/>
        <v>7.933230452674897E-2</v>
      </c>
      <c r="Q368" s="34">
        <f t="shared" si="21"/>
        <v>7.8189300411522639E-2</v>
      </c>
      <c r="R368" s="35">
        <f t="shared" si="22"/>
        <v>243.97590361445782</v>
      </c>
      <c r="S368" s="32" t="str">
        <f>IF(AND(L368&gt;=INDEX(Succès!$D$10:$D$13,MATCH(A368,Succès!$A$10:$A$13,0)),P368&gt;=INDEX(Succès!$E$10:$E$13,MATCH(A368,Succès!$A$10:$A$13,0))),"Succès complet",IF(P368&gt;=INDEX(Succès!$E$10:$E$13,MATCH(A368,Succès!$A$10:$A$13,0)),"Engagé, portée modeste",IF(L368&gt;=INDEX(Succès!$D$10:$D$13,MATCH(A368,Succès!$A$10:$A$13,0)),"Portée sans engagement","Standard")))</f>
        <v>Portée sans engagement</v>
      </c>
      <c r="T368" s="32">
        <f t="shared" si="23"/>
        <v>0</v>
      </c>
    </row>
    <row r="369" spans="1:20">
      <c r="A369" s="32" t="s">
        <v>49</v>
      </c>
      <c r="B369" s="32" t="s">
        <v>912</v>
      </c>
      <c r="C369" s="32" t="s">
        <v>913</v>
      </c>
      <c r="D369" s="32" t="s">
        <v>168</v>
      </c>
      <c r="E369" s="32" t="s">
        <v>93</v>
      </c>
      <c r="F369" s="32" t="s">
        <v>346</v>
      </c>
      <c r="G369" s="33">
        <v>1900000</v>
      </c>
      <c r="H369" s="32">
        <v>8</v>
      </c>
      <c r="I369" s="32">
        <v>9</v>
      </c>
      <c r="J369" s="32">
        <v>142</v>
      </c>
      <c r="K369" s="32">
        <v>1</v>
      </c>
      <c r="L369" s="33">
        <v>142000000</v>
      </c>
      <c r="M369" s="33">
        <v>7600000</v>
      </c>
      <c r="N369" s="33">
        <v>63200</v>
      </c>
      <c r="O369" s="33">
        <v>711800</v>
      </c>
      <c r="P369" s="34">
        <f t="shared" si="20"/>
        <v>5.8978873239436617E-2</v>
      </c>
      <c r="Q369" s="34">
        <f t="shared" si="21"/>
        <v>5.3521126760563378E-2</v>
      </c>
      <c r="R369" s="35">
        <f t="shared" si="22"/>
        <v>74.736842105263165</v>
      </c>
      <c r="S369" s="32" t="str">
        <f>IF(AND(L369&gt;=INDEX(Succès!$D$10:$D$13,MATCH(A369,Succès!$A$10:$A$13,0)),P369&gt;=INDEX(Succès!$E$10:$E$13,MATCH(A369,Succès!$A$10:$A$13,0))),"Succès complet",IF(P369&gt;=INDEX(Succès!$E$10:$E$13,MATCH(A369,Succès!$A$10:$A$13,0)),"Engagé, portée modeste",IF(L369&gt;=INDEX(Succès!$D$10:$D$13,MATCH(A369,Succès!$A$10:$A$13,0)),"Portée sans engagement","Standard")))</f>
        <v>Portée sans engagement</v>
      </c>
      <c r="T369" s="32">
        <f t="shared" si="23"/>
        <v>0</v>
      </c>
    </row>
    <row r="370" spans="1:20">
      <c r="A370" s="32" t="s">
        <v>49</v>
      </c>
      <c r="B370" s="32" t="s">
        <v>914</v>
      </c>
      <c r="C370" s="32" t="s">
        <v>915</v>
      </c>
      <c r="D370" s="32"/>
      <c r="E370" s="32" t="s">
        <v>93</v>
      </c>
      <c r="F370" s="32" t="s">
        <v>346</v>
      </c>
      <c r="G370" s="33">
        <v>824700</v>
      </c>
      <c r="H370" s="32">
        <v>9</v>
      </c>
      <c r="I370" s="32">
        <v>2</v>
      </c>
      <c r="J370" s="32">
        <v>11</v>
      </c>
      <c r="K370" s="32">
        <v>1</v>
      </c>
      <c r="L370" s="33">
        <v>49100000</v>
      </c>
      <c r="M370" s="33">
        <v>7500000</v>
      </c>
      <c r="N370" s="33">
        <v>41200</v>
      </c>
      <c r="O370" s="33">
        <v>442500</v>
      </c>
      <c r="P370" s="34">
        <f t="shared" si="20"/>
        <v>0.16260081466395113</v>
      </c>
      <c r="Q370" s="34">
        <f t="shared" si="21"/>
        <v>0.15274949083503056</v>
      </c>
      <c r="R370" s="35">
        <f t="shared" si="22"/>
        <v>59.536801261064632</v>
      </c>
      <c r="S370" s="32" t="str">
        <f>IF(AND(L370&gt;=INDEX(Succès!$D$10:$D$13,MATCH(A370,Succès!$A$10:$A$13,0)),P370&gt;=INDEX(Succès!$E$10:$E$13,MATCH(A370,Succès!$A$10:$A$13,0))),"Succès complet",IF(P370&gt;=INDEX(Succès!$E$10:$E$13,MATCH(A370,Succès!$A$10:$A$13,0)),"Engagé, portée modeste",IF(L370&gt;=INDEX(Succès!$D$10:$D$13,MATCH(A370,Succès!$A$10:$A$13,0)),"Portée sans engagement","Standard")))</f>
        <v>Standard</v>
      </c>
      <c r="T370" s="32">
        <f t="shared" si="23"/>
        <v>0</v>
      </c>
    </row>
    <row r="371" spans="1:20">
      <c r="A371" s="32" t="s">
        <v>49</v>
      </c>
      <c r="B371" s="32" t="s">
        <v>916</v>
      </c>
      <c r="C371" s="32" t="s">
        <v>917</v>
      </c>
      <c r="D371" s="32"/>
      <c r="E371" s="32" t="s">
        <v>93</v>
      </c>
      <c r="F371" s="32" t="s">
        <v>341</v>
      </c>
      <c r="G371" s="33">
        <v>4000000</v>
      </c>
      <c r="H371" s="32">
        <v>19</v>
      </c>
      <c r="I371" s="32">
        <v>9</v>
      </c>
      <c r="J371" s="32">
        <v>148</v>
      </c>
      <c r="K371" s="32">
        <v>1</v>
      </c>
      <c r="L371" s="33">
        <v>56400000</v>
      </c>
      <c r="M371" s="33">
        <v>7500000</v>
      </c>
      <c r="N371" s="33">
        <v>150400</v>
      </c>
      <c r="O371" s="33">
        <v>255100</v>
      </c>
      <c r="P371" s="34">
        <f t="shared" si="20"/>
        <v>0.14016843971631204</v>
      </c>
      <c r="Q371" s="34">
        <f t="shared" si="21"/>
        <v>0.13297872340425532</v>
      </c>
      <c r="R371" s="35">
        <f t="shared" si="22"/>
        <v>14.1</v>
      </c>
      <c r="S371" s="32" t="str">
        <f>IF(AND(L371&gt;=INDEX(Succès!$D$10:$D$13,MATCH(A371,Succès!$A$10:$A$13,0)),P371&gt;=INDEX(Succès!$E$10:$E$13,MATCH(A371,Succès!$A$10:$A$13,0))),"Succès complet",IF(P371&gt;=INDEX(Succès!$E$10:$E$13,MATCH(A371,Succès!$A$10:$A$13,0)),"Engagé, portée modeste",IF(L371&gt;=INDEX(Succès!$D$10:$D$13,MATCH(A371,Succès!$A$10:$A$13,0)),"Portée sans engagement","Standard")))</f>
        <v>Portée sans engagement</v>
      </c>
      <c r="T371" s="32">
        <f t="shared" si="23"/>
        <v>0</v>
      </c>
    </row>
    <row r="372" spans="1:20">
      <c r="A372" s="32" t="s">
        <v>49</v>
      </c>
      <c r="B372" s="32" t="s">
        <v>918</v>
      </c>
      <c r="C372" s="32" t="s">
        <v>827</v>
      </c>
      <c r="D372" s="32"/>
      <c r="E372" s="32" t="s">
        <v>93</v>
      </c>
      <c r="F372" s="32" t="s">
        <v>346</v>
      </c>
      <c r="G372" s="33">
        <v>14500000</v>
      </c>
      <c r="H372" s="32">
        <v>7</v>
      </c>
      <c r="I372" s="32">
        <v>18</v>
      </c>
      <c r="J372" s="32">
        <v>147</v>
      </c>
      <c r="K372" s="32">
        <v>1</v>
      </c>
      <c r="L372" s="33">
        <v>59700000</v>
      </c>
      <c r="M372" s="33">
        <v>7500000</v>
      </c>
      <c r="N372" s="33">
        <v>64100</v>
      </c>
      <c r="O372" s="33">
        <v>431600</v>
      </c>
      <c r="P372" s="34">
        <f t="shared" si="20"/>
        <v>0.13393132328308208</v>
      </c>
      <c r="Q372" s="34">
        <f t="shared" si="21"/>
        <v>0.12562814070351758</v>
      </c>
      <c r="R372" s="35">
        <f t="shared" si="22"/>
        <v>4.1172413793103448</v>
      </c>
      <c r="S372" s="32" t="str">
        <f>IF(AND(L372&gt;=INDEX(Succès!$D$10:$D$13,MATCH(A372,Succès!$A$10:$A$13,0)),P372&gt;=INDEX(Succès!$E$10:$E$13,MATCH(A372,Succès!$A$10:$A$13,0))),"Succès complet",IF(P372&gt;=INDEX(Succès!$E$10:$E$13,MATCH(A372,Succès!$A$10:$A$13,0)),"Engagé, portée modeste",IF(L372&gt;=INDEX(Succès!$D$10:$D$13,MATCH(A372,Succès!$A$10:$A$13,0)),"Portée sans engagement","Standard")))</f>
        <v>Portée sans engagement</v>
      </c>
      <c r="T372" s="32">
        <f t="shared" si="23"/>
        <v>0</v>
      </c>
    </row>
    <row r="373" spans="1:20">
      <c r="A373" s="32" t="s">
        <v>49</v>
      </c>
      <c r="B373" s="32" t="s">
        <v>919</v>
      </c>
      <c r="C373" s="32" t="s">
        <v>920</v>
      </c>
      <c r="D373" s="32"/>
      <c r="E373" s="32" t="s">
        <v>93</v>
      </c>
      <c r="F373" s="32" t="s">
        <v>341</v>
      </c>
      <c r="G373" s="33">
        <v>8700000</v>
      </c>
      <c r="H373" s="32">
        <v>20</v>
      </c>
      <c r="I373" s="32">
        <v>3</v>
      </c>
      <c r="J373" s="32">
        <v>54</v>
      </c>
      <c r="K373" s="32">
        <v>0</v>
      </c>
      <c r="L373" s="33">
        <v>41000000</v>
      </c>
      <c r="M373" s="33">
        <v>7400000</v>
      </c>
      <c r="N373" s="33">
        <v>37900</v>
      </c>
      <c r="O373" s="33">
        <v>291900</v>
      </c>
      <c r="P373" s="34">
        <f t="shared" si="20"/>
        <v>0.18853170731707317</v>
      </c>
      <c r="Q373" s="34">
        <f t="shared" si="21"/>
        <v>0.18048780487804877</v>
      </c>
      <c r="R373" s="35">
        <f t="shared" si="22"/>
        <v>4.7126436781609193</v>
      </c>
      <c r="S373" s="32" t="str">
        <f>IF(AND(L373&gt;=INDEX(Succès!$D$10:$D$13,MATCH(A373,Succès!$A$10:$A$13,0)),P373&gt;=INDEX(Succès!$E$10:$E$13,MATCH(A373,Succès!$A$10:$A$13,0))),"Succès complet",IF(P373&gt;=INDEX(Succès!$E$10:$E$13,MATCH(A373,Succès!$A$10:$A$13,0)),"Engagé, portée modeste",IF(L373&gt;=INDEX(Succès!$D$10:$D$13,MATCH(A373,Succès!$A$10:$A$13,0)),"Portée sans engagement","Standard")))</f>
        <v>Engagé, portée modeste</v>
      </c>
      <c r="T373" s="32">
        <f t="shared" si="23"/>
        <v>0</v>
      </c>
    </row>
    <row r="374" spans="1:20">
      <c r="A374" s="32" t="s">
        <v>49</v>
      </c>
      <c r="B374" s="32" t="s">
        <v>921</v>
      </c>
      <c r="C374" s="32" t="s">
        <v>271</v>
      </c>
      <c r="D374" s="32" t="s">
        <v>269</v>
      </c>
      <c r="E374" s="32" t="s">
        <v>93</v>
      </c>
      <c r="F374" s="32" t="s">
        <v>346</v>
      </c>
      <c r="G374" s="33">
        <v>1300000</v>
      </c>
      <c r="H374" s="32">
        <v>40</v>
      </c>
      <c r="I374" s="32">
        <v>8</v>
      </c>
      <c r="J374" s="32">
        <v>117</v>
      </c>
      <c r="K374" s="32">
        <v>1</v>
      </c>
      <c r="L374" s="33">
        <v>34000000</v>
      </c>
      <c r="M374" s="33">
        <v>7400000</v>
      </c>
      <c r="N374" s="33">
        <v>91200</v>
      </c>
      <c r="O374" s="33">
        <v>464700</v>
      </c>
      <c r="P374" s="34">
        <f t="shared" si="20"/>
        <v>0.23399705882352942</v>
      </c>
      <c r="Q374" s="34">
        <f t="shared" si="21"/>
        <v>0.21764705882352942</v>
      </c>
      <c r="R374" s="35">
        <f t="shared" si="22"/>
        <v>26.153846153846153</v>
      </c>
      <c r="S374" s="32" t="str">
        <f>IF(AND(L374&gt;=INDEX(Succès!$D$10:$D$13,MATCH(A374,Succès!$A$10:$A$13,0)),P374&gt;=INDEX(Succès!$E$10:$E$13,MATCH(A374,Succès!$A$10:$A$13,0))),"Succès complet",IF(P374&gt;=INDEX(Succès!$E$10:$E$13,MATCH(A374,Succès!$A$10:$A$13,0)),"Engagé, portée modeste",IF(L374&gt;=INDEX(Succès!$D$10:$D$13,MATCH(A374,Succès!$A$10:$A$13,0)),"Portée sans engagement","Standard")))</f>
        <v>Engagé, portée modeste</v>
      </c>
      <c r="T374" s="32">
        <f t="shared" si="23"/>
        <v>0</v>
      </c>
    </row>
    <row r="375" spans="1:20">
      <c r="A375" s="32" t="s">
        <v>49</v>
      </c>
      <c r="B375" s="32" t="s">
        <v>922</v>
      </c>
      <c r="C375" s="32" t="s">
        <v>923</v>
      </c>
      <c r="D375" s="32"/>
      <c r="E375" s="32" t="s">
        <v>93</v>
      </c>
      <c r="F375" s="32" t="s">
        <v>346</v>
      </c>
      <c r="G375" s="33">
        <v>1800000</v>
      </c>
      <c r="H375" s="32">
        <v>57</v>
      </c>
      <c r="I375" s="32">
        <v>4</v>
      </c>
      <c r="J375" s="32">
        <v>91</v>
      </c>
      <c r="K375" s="32">
        <v>1</v>
      </c>
      <c r="L375" s="33">
        <v>38000000</v>
      </c>
      <c r="M375" s="33">
        <v>7400000</v>
      </c>
      <c r="N375" s="33">
        <v>92800</v>
      </c>
      <c r="O375" s="33">
        <v>554700</v>
      </c>
      <c r="P375" s="34">
        <f t="shared" si="20"/>
        <v>0.21177631578947367</v>
      </c>
      <c r="Q375" s="34">
        <f t="shared" si="21"/>
        <v>0.19473684210526315</v>
      </c>
      <c r="R375" s="35">
        <f t="shared" si="22"/>
        <v>21.111111111111111</v>
      </c>
      <c r="S375" s="32" t="str">
        <f>IF(AND(L375&gt;=INDEX(Succès!$D$10:$D$13,MATCH(A375,Succès!$A$10:$A$13,0)),P375&gt;=INDEX(Succès!$E$10:$E$13,MATCH(A375,Succès!$A$10:$A$13,0))),"Succès complet",IF(P375&gt;=INDEX(Succès!$E$10:$E$13,MATCH(A375,Succès!$A$10:$A$13,0)),"Engagé, portée modeste",IF(L375&gt;=INDEX(Succès!$D$10:$D$13,MATCH(A375,Succès!$A$10:$A$13,0)),"Portée sans engagement","Standard")))</f>
        <v>Engagé, portée modeste</v>
      </c>
      <c r="T375" s="32">
        <f t="shared" si="23"/>
        <v>0</v>
      </c>
    </row>
    <row r="376" spans="1:20">
      <c r="A376" s="32" t="s">
        <v>49</v>
      </c>
      <c r="B376" s="32" t="s">
        <v>924</v>
      </c>
      <c r="C376" s="32" t="s">
        <v>839</v>
      </c>
      <c r="D376" s="32"/>
      <c r="E376" s="32" t="s">
        <v>93</v>
      </c>
      <c r="F376" s="32" t="s">
        <v>341</v>
      </c>
      <c r="G376" s="33">
        <v>9100000</v>
      </c>
      <c r="H376" s="32">
        <v>23</v>
      </c>
      <c r="I376" s="32">
        <v>8</v>
      </c>
      <c r="J376" s="32">
        <v>119</v>
      </c>
      <c r="K376" s="32">
        <v>1</v>
      </c>
      <c r="L376" s="33">
        <v>69400000</v>
      </c>
      <c r="M376" s="33">
        <v>7400000</v>
      </c>
      <c r="N376" s="33">
        <v>14000</v>
      </c>
      <c r="O376" s="33">
        <v>81600</v>
      </c>
      <c r="P376" s="34">
        <f t="shared" si="20"/>
        <v>0.1080057636887608</v>
      </c>
      <c r="Q376" s="34">
        <f t="shared" si="21"/>
        <v>0.10662824207492795</v>
      </c>
      <c r="R376" s="35">
        <f t="shared" si="22"/>
        <v>7.6263736263736268</v>
      </c>
      <c r="S376" s="32" t="str">
        <f>IF(AND(L376&gt;=INDEX(Succès!$D$10:$D$13,MATCH(A376,Succès!$A$10:$A$13,0)),P376&gt;=INDEX(Succès!$E$10:$E$13,MATCH(A376,Succès!$A$10:$A$13,0))),"Succès complet",IF(P376&gt;=INDEX(Succès!$E$10:$E$13,MATCH(A376,Succès!$A$10:$A$13,0)),"Engagé, portée modeste",IF(L376&gt;=INDEX(Succès!$D$10:$D$13,MATCH(A376,Succès!$A$10:$A$13,0)),"Portée sans engagement","Standard")))</f>
        <v>Portée sans engagement</v>
      </c>
      <c r="T376" s="32">
        <f t="shared" si="23"/>
        <v>0</v>
      </c>
    </row>
    <row r="377" spans="1:20">
      <c r="A377" s="32" t="s">
        <v>49</v>
      </c>
      <c r="B377" s="32" t="s">
        <v>925</v>
      </c>
      <c r="C377" s="32" t="s">
        <v>926</v>
      </c>
      <c r="D377" s="32"/>
      <c r="E377" s="32" t="s">
        <v>93</v>
      </c>
      <c r="F377" s="32" t="s">
        <v>341</v>
      </c>
      <c r="G377" s="33">
        <v>5700000</v>
      </c>
      <c r="H377" s="32">
        <v>30</v>
      </c>
      <c r="I377" s="32">
        <v>6</v>
      </c>
      <c r="J377" s="32">
        <v>102</v>
      </c>
      <c r="K377" s="32">
        <v>0</v>
      </c>
      <c r="L377" s="33">
        <v>53100000</v>
      </c>
      <c r="M377" s="33">
        <v>7300000</v>
      </c>
      <c r="N377" s="33">
        <v>12600</v>
      </c>
      <c r="O377" s="33">
        <v>21200</v>
      </c>
      <c r="P377" s="34">
        <f t="shared" si="20"/>
        <v>0.13811299435028249</v>
      </c>
      <c r="Q377" s="34">
        <f t="shared" si="21"/>
        <v>0.13747645951035781</v>
      </c>
      <c r="R377" s="35">
        <f t="shared" si="22"/>
        <v>9.3157894736842106</v>
      </c>
      <c r="S377" s="32" t="str">
        <f>IF(AND(L377&gt;=INDEX(Succès!$D$10:$D$13,MATCH(A377,Succès!$A$10:$A$13,0)),P377&gt;=INDEX(Succès!$E$10:$E$13,MATCH(A377,Succès!$A$10:$A$13,0))),"Succès complet",IF(P377&gt;=INDEX(Succès!$E$10:$E$13,MATCH(A377,Succès!$A$10:$A$13,0)),"Engagé, portée modeste",IF(L377&gt;=INDEX(Succès!$D$10:$D$13,MATCH(A377,Succès!$A$10:$A$13,0)),"Portée sans engagement","Standard")))</f>
        <v>Standard</v>
      </c>
      <c r="T377" s="32">
        <f t="shared" si="23"/>
        <v>0</v>
      </c>
    </row>
    <row r="378" spans="1:20">
      <c r="A378" s="32" t="s">
        <v>49</v>
      </c>
      <c r="B378" s="32" t="s">
        <v>927</v>
      </c>
      <c r="C378" s="32" t="s">
        <v>831</v>
      </c>
      <c r="D378" s="32"/>
      <c r="E378" s="32" t="s">
        <v>93</v>
      </c>
      <c r="F378" s="32" t="s">
        <v>346</v>
      </c>
      <c r="G378" s="33">
        <v>2300000</v>
      </c>
      <c r="H378" s="32">
        <v>23</v>
      </c>
      <c r="I378" s="32">
        <v>11</v>
      </c>
      <c r="J378" s="32">
        <v>139</v>
      </c>
      <c r="K378" s="32">
        <v>1</v>
      </c>
      <c r="L378" s="33">
        <v>86200000</v>
      </c>
      <c r="M378" s="33">
        <v>7300000</v>
      </c>
      <c r="N378" s="33">
        <v>16300</v>
      </c>
      <c r="O378" s="33">
        <v>8102</v>
      </c>
      <c r="P378" s="34">
        <f t="shared" si="20"/>
        <v>8.4969860788863108E-2</v>
      </c>
      <c r="Q378" s="34">
        <f t="shared" si="21"/>
        <v>8.4686774941995363E-2</v>
      </c>
      <c r="R378" s="35">
        <f t="shared" si="22"/>
        <v>37.478260869565219</v>
      </c>
      <c r="S378" s="32" t="str">
        <f>IF(AND(L378&gt;=INDEX(Succès!$D$10:$D$13,MATCH(A378,Succès!$A$10:$A$13,0)),P378&gt;=INDEX(Succès!$E$10:$E$13,MATCH(A378,Succès!$A$10:$A$13,0))),"Succès complet",IF(P378&gt;=INDEX(Succès!$E$10:$E$13,MATCH(A378,Succès!$A$10:$A$13,0)),"Engagé, portée modeste",IF(L378&gt;=INDEX(Succès!$D$10:$D$13,MATCH(A378,Succès!$A$10:$A$13,0)),"Portée sans engagement","Standard")))</f>
        <v>Portée sans engagement</v>
      </c>
      <c r="T378" s="32">
        <f t="shared" si="23"/>
        <v>0</v>
      </c>
    </row>
    <row r="379" spans="1:20">
      <c r="A379" s="32" t="s">
        <v>49</v>
      </c>
      <c r="B379" s="32" t="s">
        <v>928</v>
      </c>
      <c r="C379" s="32" t="s">
        <v>929</v>
      </c>
      <c r="D379" s="32"/>
      <c r="E379" s="32" t="s">
        <v>93</v>
      </c>
      <c r="F379" s="32" t="s">
        <v>341</v>
      </c>
      <c r="G379" s="33">
        <v>1100000</v>
      </c>
      <c r="H379" s="32">
        <v>14</v>
      </c>
      <c r="I379" s="32">
        <v>3</v>
      </c>
      <c r="J379" s="32">
        <v>64</v>
      </c>
      <c r="K379" s="32">
        <v>0</v>
      </c>
      <c r="L379" s="33">
        <v>38300000</v>
      </c>
      <c r="M379" s="33">
        <v>7300000</v>
      </c>
      <c r="N379" s="33">
        <v>37300</v>
      </c>
      <c r="O379" s="33">
        <v>173800</v>
      </c>
      <c r="P379" s="34">
        <f t="shared" si="20"/>
        <v>0.19611227154046998</v>
      </c>
      <c r="Q379" s="34">
        <f t="shared" si="21"/>
        <v>0.1906005221932115</v>
      </c>
      <c r="R379" s="35">
        <f t="shared" si="22"/>
        <v>34.81818181818182</v>
      </c>
      <c r="S379" s="32" t="str">
        <f>IF(AND(L379&gt;=INDEX(Succès!$D$10:$D$13,MATCH(A379,Succès!$A$10:$A$13,0)),P379&gt;=INDEX(Succès!$E$10:$E$13,MATCH(A379,Succès!$A$10:$A$13,0))),"Succès complet",IF(P379&gt;=INDEX(Succès!$E$10:$E$13,MATCH(A379,Succès!$A$10:$A$13,0)),"Engagé, portée modeste",IF(L379&gt;=INDEX(Succès!$D$10:$D$13,MATCH(A379,Succès!$A$10:$A$13,0)),"Portée sans engagement","Standard")))</f>
        <v>Engagé, portée modeste</v>
      </c>
      <c r="T379" s="32">
        <f t="shared" si="23"/>
        <v>0</v>
      </c>
    </row>
    <row r="380" spans="1:20">
      <c r="A380" s="32" t="s">
        <v>49</v>
      </c>
      <c r="B380" s="32" t="s">
        <v>930</v>
      </c>
      <c r="C380" s="32" t="s">
        <v>931</v>
      </c>
      <c r="D380" s="32"/>
      <c r="E380" s="32" t="s">
        <v>93</v>
      </c>
      <c r="F380" s="32" t="s">
        <v>341</v>
      </c>
      <c r="G380" s="33">
        <v>6900000</v>
      </c>
      <c r="H380" s="32">
        <v>9</v>
      </c>
      <c r="I380" s="32">
        <v>17</v>
      </c>
      <c r="J380" s="32">
        <v>135</v>
      </c>
      <c r="K380" s="32">
        <v>1</v>
      </c>
      <c r="L380" s="33">
        <v>50500000</v>
      </c>
      <c r="M380" s="33">
        <v>7200000</v>
      </c>
      <c r="N380" s="33">
        <v>37300</v>
      </c>
      <c r="O380" s="33">
        <v>227600</v>
      </c>
      <c r="P380" s="34">
        <f t="shared" si="20"/>
        <v>0.14781980198019801</v>
      </c>
      <c r="Q380" s="34">
        <f t="shared" si="21"/>
        <v>0.14257425742574256</v>
      </c>
      <c r="R380" s="35">
        <f t="shared" si="22"/>
        <v>7.3188405797101446</v>
      </c>
      <c r="S380" s="32" t="str">
        <f>IF(AND(L380&gt;=INDEX(Succès!$D$10:$D$13,MATCH(A380,Succès!$A$10:$A$13,0)),P380&gt;=INDEX(Succès!$E$10:$E$13,MATCH(A380,Succès!$A$10:$A$13,0))),"Succès complet",IF(P380&gt;=INDEX(Succès!$E$10:$E$13,MATCH(A380,Succès!$A$10:$A$13,0)),"Engagé, portée modeste",IF(L380&gt;=INDEX(Succès!$D$10:$D$13,MATCH(A380,Succès!$A$10:$A$13,0)),"Portée sans engagement","Standard")))</f>
        <v>Standard</v>
      </c>
      <c r="T380" s="32">
        <f t="shared" si="23"/>
        <v>0</v>
      </c>
    </row>
    <row r="381" spans="1:20">
      <c r="A381" s="32" t="s">
        <v>49</v>
      </c>
      <c r="B381" s="32" t="s">
        <v>932</v>
      </c>
      <c r="C381" s="32" t="s">
        <v>933</v>
      </c>
      <c r="D381" s="32"/>
      <c r="E381" s="32" t="s">
        <v>93</v>
      </c>
      <c r="F381" s="32" t="s">
        <v>341</v>
      </c>
      <c r="G381" s="33">
        <v>4500000</v>
      </c>
      <c r="H381" s="32">
        <v>35</v>
      </c>
      <c r="I381" s="32">
        <v>6</v>
      </c>
      <c r="J381" s="32">
        <v>69</v>
      </c>
      <c r="K381" s="32">
        <v>1</v>
      </c>
      <c r="L381" s="33">
        <v>40100000</v>
      </c>
      <c r="M381" s="33">
        <v>7100000</v>
      </c>
      <c r="N381" s="33">
        <v>71800</v>
      </c>
      <c r="O381" s="33">
        <v>375800</v>
      </c>
      <c r="P381" s="34">
        <f t="shared" si="20"/>
        <v>0.18821945137157106</v>
      </c>
      <c r="Q381" s="34">
        <f t="shared" si="21"/>
        <v>0.17705735660847879</v>
      </c>
      <c r="R381" s="35">
        <f t="shared" si="22"/>
        <v>8.9111111111111114</v>
      </c>
      <c r="S381" s="32" t="str">
        <f>IF(AND(L381&gt;=INDEX(Succès!$D$10:$D$13,MATCH(A381,Succès!$A$10:$A$13,0)),P381&gt;=INDEX(Succès!$E$10:$E$13,MATCH(A381,Succès!$A$10:$A$13,0))),"Succès complet",IF(P381&gt;=INDEX(Succès!$E$10:$E$13,MATCH(A381,Succès!$A$10:$A$13,0)),"Engagé, portée modeste",IF(L381&gt;=INDEX(Succès!$D$10:$D$13,MATCH(A381,Succès!$A$10:$A$13,0)),"Portée sans engagement","Standard")))</f>
        <v>Engagé, portée modeste</v>
      </c>
      <c r="T381" s="32">
        <f t="shared" si="23"/>
        <v>0</v>
      </c>
    </row>
    <row r="382" spans="1:20">
      <c r="A382" s="32" t="s">
        <v>49</v>
      </c>
      <c r="B382" s="32" t="s">
        <v>934</v>
      </c>
      <c r="C382" s="32" t="s">
        <v>935</v>
      </c>
      <c r="D382" s="32"/>
      <c r="E382" s="32" t="s">
        <v>93</v>
      </c>
      <c r="F382" s="32" t="s">
        <v>346</v>
      </c>
      <c r="G382" s="33">
        <v>287800</v>
      </c>
      <c r="H382" s="32">
        <v>30</v>
      </c>
      <c r="I382" s="32">
        <v>10</v>
      </c>
      <c r="J382" s="32">
        <v>126</v>
      </c>
      <c r="K382" s="32">
        <v>1</v>
      </c>
      <c r="L382" s="33">
        <v>49200000</v>
      </c>
      <c r="M382" s="33">
        <v>7100000</v>
      </c>
      <c r="N382" s="33">
        <v>27500</v>
      </c>
      <c r="O382" s="33">
        <v>19400</v>
      </c>
      <c r="P382" s="34">
        <f t="shared" si="20"/>
        <v>0.14526219512195121</v>
      </c>
      <c r="Q382" s="34">
        <f t="shared" si="21"/>
        <v>0.1443089430894309</v>
      </c>
      <c r="R382" s="35">
        <f t="shared" si="22"/>
        <v>170.95205003474635</v>
      </c>
      <c r="S382" s="32" t="str">
        <f>IF(AND(L382&gt;=INDEX(Succès!$D$10:$D$13,MATCH(A382,Succès!$A$10:$A$13,0)),P382&gt;=INDEX(Succès!$E$10:$E$13,MATCH(A382,Succès!$A$10:$A$13,0))),"Succès complet",IF(P382&gt;=INDEX(Succès!$E$10:$E$13,MATCH(A382,Succès!$A$10:$A$13,0)),"Engagé, portée modeste",IF(L382&gt;=INDEX(Succès!$D$10:$D$13,MATCH(A382,Succès!$A$10:$A$13,0)),"Portée sans engagement","Standard")))</f>
        <v>Standard</v>
      </c>
      <c r="T382" s="32">
        <f t="shared" si="23"/>
        <v>0</v>
      </c>
    </row>
    <row r="383" spans="1:20">
      <c r="A383" s="32" t="s">
        <v>49</v>
      </c>
      <c r="B383" s="32" t="s">
        <v>936</v>
      </c>
      <c r="C383" s="32" t="s">
        <v>937</v>
      </c>
      <c r="D383" s="32"/>
      <c r="E383" s="32" t="s">
        <v>93</v>
      </c>
      <c r="F383" s="32" t="s">
        <v>346</v>
      </c>
      <c r="G383" s="33">
        <v>961200</v>
      </c>
      <c r="H383" s="32">
        <v>22</v>
      </c>
      <c r="I383" s="32">
        <v>9</v>
      </c>
      <c r="J383" s="32">
        <v>100</v>
      </c>
      <c r="K383" s="32">
        <v>1</v>
      </c>
      <c r="L383" s="33">
        <v>51500000</v>
      </c>
      <c r="M383" s="33">
        <v>7100000</v>
      </c>
      <c r="N383" s="33">
        <v>32100</v>
      </c>
      <c r="O383" s="33">
        <v>156400</v>
      </c>
      <c r="P383" s="34">
        <f t="shared" si="20"/>
        <v>0.14152427184466018</v>
      </c>
      <c r="Q383" s="34">
        <f t="shared" si="21"/>
        <v>0.13786407766990291</v>
      </c>
      <c r="R383" s="35">
        <f t="shared" si="22"/>
        <v>53.578859758635041</v>
      </c>
      <c r="S383" s="32" t="str">
        <f>IF(AND(L383&gt;=INDEX(Succès!$D$10:$D$13,MATCH(A383,Succès!$A$10:$A$13,0)),P383&gt;=INDEX(Succès!$E$10:$E$13,MATCH(A383,Succès!$A$10:$A$13,0))),"Succès complet",IF(P383&gt;=INDEX(Succès!$E$10:$E$13,MATCH(A383,Succès!$A$10:$A$13,0)),"Engagé, portée modeste",IF(L383&gt;=INDEX(Succès!$D$10:$D$13,MATCH(A383,Succès!$A$10:$A$13,0)),"Portée sans engagement","Standard")))</f>
        <v>Standard</v>
      </c>
      <c r="T383" s="32">
        <f t="shared" si="23"/>
        <v>0</v>
      </c>
    </row>
    <row r="384" spans="1:20">
      <c r="A384" s="32" t="s">
        <v>49</v>
      </c>
      <c r="B384" s="32" t="s">
        <v>938</v>
      </c>
      <c r="C384" s="32" t="s">
        <v>886</v>
      </c>
      <c r="D384" s="32"/>
      <c r="E384" s="32" t="s">
        <v>93</v>
      </c>
      <c r="F384" s="32" t="s">
        <v>341</v>
      </c>
      <c r="G384" s="33">
        <v>4400000</v>
      </c>
      <c r="H384" s="32">
        <v>24</v>
      </c>
      <c r="I384" s="32">
        <v>15</v>
      </c>
      <c r="J384" s="32">
        <v>109</v>
      </c>
      <c r="K384" s="32">
        <v>1</v>
      </c>
      <c r="L384" s="33">
        <v>35200000</v>
      </c>
      <c r="M384" s="33">
        <v>7100000</v>
      </c>
      <c r="N384" s="33">
        <v>75000</v>
      </c>
      <c r="O384" s="33">
        <v>105200</v>
      </c>
      <c r="P384" s="34">
        <f t="shared" si="20"/>
        <v>0.20682386363636363</v>
      </c>
      <c r="Q384" s="34">
        <f t="shared" si="21"/>
        <v>0.20170454545454544</v>
      </c>
      <c r="R384" s="35">
        <f t="shared" si="22"/>
        <v>8</v>
      </c>
      <c r="S384" s="32" t="str">
        <f>IF(AND(L384&gt;=INDEX(Succès!$D$10:$D$13,MATCH(A384,Succès!$A$10:$A$13,0)),P384&gt;=INDEX(Succès!$E$10:$E$13,MATCH(A384,Succès!$A$10:$A$13,0))),"Succès complet",IF(P384&gt;=INDEX(Succès!$E$10:$E$13,MATCH(A384,Succès!$A$10:$A$13,0)),"Engagé, portée modeste",IF(L384&gt;=INDEX(Succès!$D$10:$D$13,MATCH(A384,Succès!$A$10:$A$13,0)),"Portée sans engagement","Standard")))</f>
        <v>Engagé, portée modeste</v>
      </c>
      <c r="T384" s="32">
        <f t="shared" si="23"/>
        <v>0</v>
      </c>
    </row>
    <row r="385" spans="1:20">
      <c r="A385" s="32" t="s">
        <v>49</v>
      </c>
      <c r="B385" s="32" t="s">
        <v>939</v>
      </c>
      <c r="C385" s="32" t="s">
        <v>940</v>
      </c>
      <c r="D385" s="32"/>
      <c r="E385" s="32" t="s">
        <v>93</v>
      </c>
      <c r="F385" s="32" t="s">
        <v>346</v>
      </c>
      <c r="G385" s="33">
        <v>475800</v>
      </c>
      <c r="H385" s="32">
        <v>10</v>
      </c>
      <c r="I385" s="32">
        <v>13</v>
      </c>
      <c r="J385" s="32">
        <v>148</v>
      </c>
      <c r="K385" s="32">
        <v>1</v>
      </c>
      <c r="L385" s="33">
        <v>38400000</v>
      </c>
      <c r="M385" s="33">
        <v>7100000</v>
      </c>
      <c r="N385" s="33">
        <v>77800</v>
      </c>
      <c r="O385" s="33">
        <v>253100</v>
      </c>
      <c r="P385" s="34">
        <f t="shared" si="20"/>
        <v>0.19351302083333333</v>
      </c>
      <c r="Q385" s="34">
        <f t="shared" si="21"/>
        <v>0.18489583333333334</v>
      </c>
      <c r="R385" s="35">
        <f t="shared" si="22"/>
        <v>80.706179066834807</v>
      </c>
      <c r="S385" s="32" t="str">
        <f>IF(AND(L385&gt;=INDEX(Succès!$D$10:$D$13,MATCH(A385,Succès!$A$10:$A$13,0)),P385&gt;=INDEX(Succès!$E$10:$E$13,MATCH(A385,Succès!$A$10:$A$13,0))),"Succès complet",IF(P385&gt;=INDEX(Succès!$E$10:$E$13,MATCH(A385,Succès!$A$10:$A$13,0)),"Engagé, portée modeste",IF(L385&gt;=INDEX(Succès!$D$10:$D$13,MATCH(A385,Succès!$A$10:$A$13,0)),"Portée sans engagement","Standard")))</f>
        <v>Engagé, portée modeste</v>
      </c>
      <c r="T385" s="32">
        <f t="shared" si="23"/>
        <v>0</v>
      </c>
    </row>
    <row r="386" spans="1:20">
      <c r="A386" s="32" t="s">
        <v>49</v>
      </c>
      <c r="B386" s="32" t="s">
        <v>941</v>
      </c>
      <c r="C386" s="32" t="s">
        <v>942</v>
      </c>
      <c r="D386" s="32"/>
      <c r="E386" s="32" t="s">
        <v>93</v>
      </c>
      <c r="F386" s="32" t="s">
        <v>346</v>
      </c>
      <c r="G386" s="33">
        <v>550300</v>
      </c>
      <c r="H386" s="32">
        <v>13</v>
      </c>
      <c r="I386" s="32">
        <v>11</v>
      </c>
      <c r="J386" s="32">
        <v>95</v>
      </c>
      <c r="K386" s="32">
        <v>1</v>
      </c>
      <c r="L386" s="33">
        <v>55200000</v>
      </c>
      <c r="M386" s="33">
        <v>7100000</v>
      </c>
      <c r="N386" s="33">
        <v>30500</v>
      </c>
      <c r="O386" s="33">
        <v>89700</v>
      </c>
      <c r="P386" s="34">
        <f t="shared" ref="P386:P401" si="24">(M386+N386+O386)/L386</f>
        <v>0.13080072463768116</v>
      </c>
      <c r="Q386" s="34">
        <f t="shared" ref="Q386:Q401" si="25">M386/L386</f>
        <v>0.12862318840579709</v>
      </c>
      <c r="R386" s="35">
        <f t="shared" ref="R386:R401" si="26">IF(G386="","",L386/G386)</f>
        <v>100.30892240596039</v>
      </c>
      <c r="S386" s="32" t="str">
        <f>IF(AND(L386&gt;=INDEX(Succès!$D$10:$D$13,MATCH(A386,Succès!$A$10:$A$13,0)),P386&gt;=INDEX(Succès!$E$10:$E$13,MATCH(A386,Succès!$A$10:$A$13,0))),"Succès complet",IF(P386&gt;=INDEX(Succès!$E$10:$E$13,MATCH(A386,Succès!$A$10:$A$13,0)),"Engagé, portée modeste",IF(L386&gt;=INDEX(Succès!$D$10:$D$13,MATCH(A386,Succès!$A$10:$A$13,0)),"Portée sans engagement","Standard")))</f>
        <v>Portée sans engagement</v>
      </c>
      <c r="T386" s="32">
        <f t="shared" ref="T386:T401" si="27">IF(S386="Succès complet",1,0)</f>
        <v>0</v>
      </c>
    </row>
    <row r="387" spans="1:20">
      <c r="A387" s="32" t="s">
        <v>49</v>
      </c>
      <c r="B387" s="32" t="s">
        <v>943</v>
      </c>
      <c r="C387" s="32" t="s">
        <v>283</v>
      </c>
      <c r="D387" s="32" t="s">
        <v>281</v>
      </c>
      <c r="E387" s="32" t="s">
        <v>93</v>
      </c>
      <c r="F387" s="32" t="s">
        <v>346</v>
      </c>
      <c r="G387" s="33">
        <v>74300</v>
      </c>
      <c r="H387" s="32">
        <v>36</v>
      </c>
      <c r="I387" s="32">
        <v>4</v>
      </c>
      <c r="J387" s="32">
        <v>75</v>
      </c>
      <c r="K387" s="32">
        <v>1</v>
      </c>
      <c r="L387" s="33">
        <v>31500000</v>
      </c>
      <c r="M387" s="33">
        <v>7000000</v>
      </c>
      <c r="N387" s="33">
        <v>48300</v>
      </c>
      <c r="O387" s="33">
        <v>150400</v>
      </c>
      <c r="P387" s="34">
        <f t="shared" si="24"/>
        <v>0.22853015873015872</v>
      </c>
      <c r="Q387" s="34">
        <f t="shared" si="25"/>
        <v>0.22222222222222221</v>
      </c>
      <c r="R387" s="35">
        <f t="shared" si="26"/>
        <v>423.95693135935397</v>
      </c>
      <c r="S387" s="32" t="str">
        <f>IF(AND(L387&gt;=INDEX(Succès!$D$10:$D$13,MATCH(A387,Succès!$A$10:$A$13,0)),P387&gt;=INDEX(Succès!$E$10:$E$13,MATCH(A387,Succès!$A$10:$A$13,0))),"Succès complet",IF(P387&gt;=INDEX(Succès!$E$10:$E$13,MATCH(A387,Succès!$A$10:$A$13,0)),"Engagé, portée modeste",IF(L387&gt;=INDEX(Succès!$D$10:$D$13,MATCH(A387,Succès!$A$10:$A$13,0)),"Portée sans engagement","Standard")))</f>
        <v>Engagé, portée modeste</v>
      </c>
      <c r="T387" s="32">
        <f t="shared" si="27"/>
        <v>0</v>
      </c>
    </row>
    <row r="388" spans="1:20">
      <c r="A388" s="32" t="s">
        <v>49</v>
      </c>
      <c r="B388" s="32" t="s">
        <v>944</v>
      </c>
      <c r="C388" s="32" t="s">
        <v>945</v>
      </c>
      <c r="D388" s="32"/>
      <c r="E388" s="32" t="s">
        <v>93</v>
      </c>
      <c r="F388" s="32" t="s">
        <v>346</v>
      </c>
      <c r="G388" s="33">
        <v>437300</v>
      </c>
      <c r="H388" s="32">
        <v>13</v>
      </c>
      <c r="I388" s="32">
        <v>9</v>
      </c>
      <c r="J388" s="32">
        <v>111</v>
      </c>
      <c r="K388" s="32">
        <v>1</v>
      </c>
      <c r="L388" s="33">
        <v>34100000</v>
      </c>
      <c r="M388" s="33">
        <v>7000000</v>
      </c>
      <c r="N388" s="33">
        <v>25500</v>
      </c>
      <c r="O388" s="33">
        <v>33600</v>
      </c>
      <c r="P388" s="34">
        <f t="shared" si="24"/>
        <v>0.2070117302052786</v>
      </c>
      <c r="Q388" s="34">
        <f t="shared" si="25"/>
        <v>0.20527859237536658</v>
      </c>
      <c r="R388" s="35">
        <f t="shared" si="26"/>
        <v>77.978504459181337</v>
      </c>
      <c r="S388" s="32" t="str">
        <f>IF(AND(L388&gt;=INDEX(Succès!$D$10:$D$13,MATCH(A388,Succès!$A$10:$A$13,0)),P388&gt;=INDEX(Succès!$E$10:$E$13,MATCH(A388,Succès!$A$10:$A$13,0))),"Succès complet",IF(P388&gt;=INDEX(Succès!$E$10:$E$13,MATCH(A388,Succès!$A$10:$A$13,0)),"Engagé, portée modeste",IF(L388&gt;=INDEX(Succès!$D$10:$D$13,MATCH(A388,Succès!$A$10:$A$13,0)),"Portée sans engagement","Standard")))</f>
        <v>Engagé, portée modeste</v>
      </c>
      <c r="T388" s="32">
        <f t="shared" si="27"/>
        <v>0</v>
      </c>
    </row>
    <row r="389" spans="1:20">
      <c r="A389" s="32" t="s">
        <v>49</v>
      </c>
      <c r="B389" s="32" t="s">
        <v>946</v>
      </c>
      <c r="C389" s="32" t="s">
        <v>947</v>
      </c>
      <c r="D389" s="32"/>
      <c r="E389" s="32" t="s">
        <v>93</v>
      </c>
      <c r="F389" s="32" t="s">
        <v>341</v>
      </c>
      <c r="G389" s="33">
        <v>4500000</v>
      </c>
      <c r="H389" s="32">
        <v>20</v>
      </c>
      <c r="I389" s="32">
        <v>5</v>
      </c>
      <c r="J389" s="32">
        <v>68</v>
      </c>
      <c r="K389" s="32">
        <v>1</v>
      </c>
      <c r="L389" s="33">
        <v>79400000</v>
      </c>
      <c r="M389" s="33">
        <v>7000000</v>
      </c>
      <c r="N389" s="33">
        <v>9796</v>
      </c>
      <c r="O389" s="33">
        <v>182100</v>
      </c>
      <c r="P389" s="34">
        <f t="shared" si="24"/>
        <v>9.0578035264483631E-2</v>
      </c>
      <c r="Q389" s="34">
        <f t="shared" si="25"/>
        <v>8.8161209068010074E-2</v>
      </c>
      <c r="R389" s="35">
        <f t="shared" si="26"/>
        <v>17.644444444444446</v>
      </c>
      <c r="S389" s="32" t="str">
        <f>IF(AND(L389&gt;=INDEX(Succès!$D$10:$D$13,MATCH(A389,Succès!$A$10:$A$13,0)),P389&gt;=INDEX(Succès!$E$10:$E$13,MATCH(A389,Succès!$A$10:$A$13,0))),"Succès complet",IF(P389&gt;=INDEX(Succès!$E$10:$E$13,MATCH(A389,Succès!$A$10:$A$13,0)),"Engagé, portée modeste",IF(L389&gt;=INDEX(Succès!$D$10:$D$13,MATCH(A389,Succès!$A$10:$A$13,0)),"Portée sans engagement","Standard")))</f>
        <v>Portée sans engagement</v>
      </c>
      <c r="T389" s="32">
        <f t="shared" si="27"/>
        <v>0</v>
      </c>
    </row>
    <row r="390" spans="1:20">
      <c r="A390" s="32" t="s">
        <v>49</v>
      </c>
      <c r="B390" s="32" t="s">
        <v>948</v>
      </c>
      <c r="C390" s="32" t="s">
        <v>949</v>
      </c>
      <c r="D390" s="32"/>
      <c r="E390" s="32" t="s">
        <v>93</v>
      </c>
      <c r="F390" s="32" t="s">
        <v>346</v>
      </c>
      <c r="G390" s="33">
        <v>1800000</v>
      </c>
      <c r="H390" s="32">
        <v>7</v>
      </c>
      <c r="I390" s="32">
        <v>12</v>
      </c>
      <c r="J390" s="32">
        <v>101</v>
      </c>
      <c r="K390" s="32">
        <v>1</v>
      </c>
      <c r="L390" s="33">
        <v>70700000</v>
      </c>
      <c r="M390" s="33">
        <v>7000000</v>
      </c>
      <c r="N390" s="33">
        <v>60100</v>
      </c>
      <c r="O390" s="33">
        <v>262900</v>
      </c>
      <c r="P390" s="34">
        <f t="shared" si="24"/>
        <v>0.10357850070721358</v>
      </c>
      <c r="Q390" s="34">
        <f t="shared" si="25"/>
        <v>9.9009900990099015E-2</v>
      </c>
      <c r="R390" s="35">
        <f t="shared" si="26"/>
        <v>39.277777777777779</v>
      </c>
      <c r="S390" s="32" t="str">
        <f>IF(AND(L390&gt;=INDEX(Succès!$D$10:$D$13,MATCH(A390,Succès!$A$10:$A$13,0)),P390&gt;=INDEX(Succès!$E$10:$E$13,MATCH(A390,Succès!$A$10:$A$13,0))),"Succès complet",IF(P390&gt;=INDEX(Succès!$E$10:$E$13,MATCH(A390,Succès!$A$10:$A$13,0)),"Engagé, portée modeste",IF(L390&gt;=INDEX(Succès!$D$10:$D$13,MATCH(A390,Succès!$A$10:$A$13,0)),"Portée sans engagement","Standard")))</f>
        <v>Portée sans engagement</v>
      </c>
      <c r="T390" s="32">
        <f t="shared" si="27"/>
        <v>0</v>
      </c>
    </row>
    <row r="391" spans="1:20">
      <c r="A391" s="32" t="s">
        <v>49</v>
      </c>
      <c r="B391" s="32" t="s">
        <v>950</v>
      </c>
      <c r="C391" s="32" t="s">
        <v>951</v>
      </c>
      <c r="D391" s="32"/>
      <c r="E391" s="32" t="s">
        <v>93</v>
      </c>
      <c r="F391" s="32" t="s">
        <v>346</v>
      </c>
      <c r="G391" s="33">
        <v>294800</v>
      </c>
      <c r="H391" s="32">
        <v>12</v>
      </c>
      <c r="I391" s="32">
        <v>20</v>
      </c>
      <c r="J391" s="32">
        <v>147</v>
      </c>
      <c r="K391" s="32">
        <v>1</v>
      </c>
      <c r="L391" s="33">
        <v>48700000</v>
      </c>
      <c r="M391" s="33">
        <v>7000000</v>
      </c>
      <c r="N391" s="33">
        <v>86800</v>
      </c>
      <c r="O391" s="33">
        <v>256400</v>
      </c>
      <c r="P391" s="34">
        <f t="shared" si="24"/>
        <v>0.15078439425051335</v>
      </c>
      <c r="Q391" s="34">
        <f t="shared" si="25"/>
        <v>0.14373716632443531</v>
      </c>
      <c r="R391" s="35">
        <f t="shared" si="26"/>
        <v>165.19674355495252</v>
      </c>
      <c r="S391" s="32" t="str">
        <f>IF(AND(L391&gt;=INDEX(Succès!$D$10:$D$13,MATCH(A391,Succès!$A$10:$A$13,0)),P391&gt;=INDEX(Succès!$E$10:$E$13,MATCH(A391,Succès!$A$10:$A$13,0))),"Succès complet",IF(P391&gt;=INDEX(Succès!$E$10:$E$13,MATCH(A391,Succès!$A$10:$A$13,0)),"Engagé, portée modeste",IF(L391&gt;=INDEX(Succès!$D$10:$D$13,MATCH(A391,Succès!$A$10:$A$13,0)),"Portée sans engagement","Standard")))</f>
        <v>Standard</v>
      </c>
      <c r="T391" s="32">
        <f t="shared" si="27"/>
        <v>0</v>
      </c>
    </row>
    <row r="392" spans="1:20">
      <c r="A392" s="32" t="s">
        <v>49</v>
      </c>
      <c r="B392" s="32" t="s">
        <v>952</v>
      </c>
      <c r="C392" s="32" t="s">
        <v>953</v>
      </c>
      <c r="D392" s="32"/>
      <c r="E392" s="32" t="s">
        <v>93</v>
      </c>
      <c r="F392" s="32" t="s">
        <v>341</v>
      </c>
      <c r="G392" s="33">
        <v>3600000</v>
      </c>
      <c r="H392" s="32">
        <v>42</v>
      </c>
      <c r="I392" s="32">
        <v>7</v>
      </c>
      <c r="J392" s="32">
        <v>135</v>
      </c>
      <c r="K392" s="32">
        <v>0</v>
      </c>
      <c r="L392" s="33">
        <v>49800000</v>
      </c>
      <c r="M392" s="33">
        <v>7000000</v>
      </c>
      <c r="N392" s="33">
        <v>11100</v>
      </c>
      <c r="O392" s="33">
        <v>40800</v>
      </c>
      <c r="P392" s="34">
        <f t="shared" si="24"/>
        <v>0.14160441767068274</v>
      </c>
      <c r="Q392" s="34">
        <f t="shared" si="25"/>
        <v>0.14056224899598393</v>
      </c>
      <c r="R392" s="35">
        <f t="shared" si="26"/>
        <v>13.833333333333334</v>
      </c>
      <c r="S392" s="32" t="str">
        <f>IF(AND(L392&gt;=INDEX(Succès!$D$10:$D$13,MATCH(A392,Succès!$A$10:$A$13,0)),P392&gt;=INDEX(Succès!$E$10:$E$13,MATCH(A392,Succès!$A$10:$A$13,0))),"Succès complet",IF(P392&gt;=INDEX(Succès!$E$10:$E$13,MATCH(A392,Succès!$A$10:$A$13,0)),"Engagé, portée modeste",IF(L392&gt;=INDEX(Succès!$D$10:$D$13,MATCH(A392,Succès!$A$10:$A$13,0)),"Portée sans engagement","Standard")))</f>
        <v>Standard</v>
      </c>
      <c r="T392" s="32">
        <f t="shared" si="27"/>
        <v>0</v>
      </c>
    </row>
    <row r="393" spans="1:20">
      <c r="A393" s="32" t="s">
        <v>49</v>
      </c>
      <c r="B393" s="32" t="s">
        <v>954</v>
      </c>
      <c r="C393" s="32" t="s">
        <v>886</v>
      </c>
      <c r="D393" s="32"/>
      <c r="E393" s="32" t="s">
        <v>93</v>
      </c>
      <c r="F393" s="32" t="s">
        <v>341</v>
      </c>
      <c r="G393" s="33">
        <v>4400000</v>
      </c>
      <c r="H393" s="32">
        <v>16</v>
      </c>
      <c r="I393" s="32">
        <v>10</v>
      </c>
      <c r="J393" s="32">
        <v>65</v>
      </c>
      <c r="K393" s="32">
        <v>1</v>
      </c>
      <c r="L393" s="33">
        <v>48700000</v>
      </c>
      <c r="M393" s="33">
        <v>7000000</v>
      </c>
      <c r="N393" s="33">
        <v>26700</v>
      </c>
      <c r="O393" s="33">
        <v>39600</v>
      </c>
      <c r="P393" s="34">
        <f t="shared" si="24"/>
        <v>0.14509856262833676</v>
      </c>
      <c r="Q393" s="34">
        <f t="shared" si="25"/>
        <v>0.14373716632443531</v>
      </c>
      <c r="R393" s="35">
        <f t="shared" si="26"/>
        <v>11.068181818181818</v>
      </c>
      <c r="S393" s="32" t="str">
        <f>IF(AND(L393&gt;=INDEX(Succès!$D$10:$D$13,MATCH(A393,Succès!$A$10:$A$13,0)),P393&gt;=INDEX(Succès!$E$10:$E$13,MATCH(A393,Succès!$A$10:$A$13,0))),"Succès complet",IF(P393&gt;=INDEX(Succès!$E$10:$E$13,MATCH(A393,Succès!$A$10:$A$13,0)),"Engagé, portée modeste",IF(L393&gt;=INDEX(Succès!$D$10:$D$13,MATCH(A393,Succès!$A$10:$A$13,0)),"Portée sans engagement","Standard")))</f>
        <v>Standard</v>
      </c>
      <c r="T393" s="32">
        <f t="shared" si="27"/>
        <v>0</v>
      </c>
    </row>
    <row r="394" spans="1:20">
      <c r="A394" s="32" t="s">
        <v>49</v>
      </c>
      <c r="B394" s="32" t="s">
        <v>955</v>
      </c>
      <c r="C394" s="32" t="s">
        <v>956</v>
      </c>
      <c r="D394" s="32"/>
      <c r="E394" s="32" t="s">
        <v>93</v>
      </c>
      <c r="F394" s="32" t="s">
        <v>346</v>
      </c>
      <c r="G394" s="33">
        <v>480700</v>
      </c>
      <c r="H394" s="32">
        <v>16</v>
      </c>
      <c r="I394" s="32">
        <v>19</v>
      </c>
      <c r="J394" s="32">
        <v>138</v>
      </c>
      <c r="K394" s="32">
        <v>1</v>
      </c>
      <c r="L394" s="33">
        <v>43000000</v>
      </c>
      <c r="M394" s="33">
        <v>6900000</v>
      </c>
      <c r="N394" s="33">
        <v>70800</v>
      </c>
      <c r="O394" s="33">
        <v>116200</v>
      </c>
      <c r="P394" s="34">
        <f t="shared" si="24"/>
        <v>0.16481395348837211</v>
      </c>
      <c r="Q394" s="34">
        <f t="shared" si="25"/>
        <v>0.16046511627906976</v>
      </c>
      <c r="R394" s="35">
        <f t="shared" si="26"/>
        <v>89.452881214894944</v>
      </c>
      <c r="S394" s="32" t="str">
        <f>IF(AND(L394&gt;=INDEX(Succès!$D$10:$D$13,MATCH(A394,Succès!$A$10:$A$13,0)),P394&gt;=INDEX(Succès!$E$10:$E$13,MATCH(A394,Succès!$A$10:$A$13,0))),"Succès complet",IF(P394&gt;=INDEX(Succès!$E$10:$E$13,MATCH(A394,Succès!$A$10:$A$13,0)),"Engagé, portée modeste",IF(L394&gt;=INDEX(Succès!$D$10:$D$13,MATCH(A394,Succès!$A$10:$A$13,0)),"Portée sans engagement","Standard")))</f>
        <v>Engagé, portée modeste</v>
      </c>
      <c r="T394" s="32">
        <f t="shared" si="27"/>
        <v>0</v>
      </c>
    </row>
    <row r="395" spans="1:20">
      <c r="A395" s="32" t="s">
        <v>49</v>
      </c>
      <c r="B395" s="32" t="s">
        <v>957</v>
      </c>
      <c r="C395" s="32" t="s">
        <v>958</v>
      </c>
      <c r="D395" s="32"/>
      <c r="E395" s="32" t="s">
        <v>93</v>
      </c>
      <c r="F395" s="32" t="s">
        <v>346</v>
      </c>
      <c r="G395" s="33">
        <v>5000000</v>
      </c>
      <c r="H395" s="32">
        <v>59</v>
      </c>
      <c r="I395" s="32">
        <v>11</v>
      </c>
      <c r="J395" s="32">
        <v>146</v>
      </c>
      <c r="K395" s="32">
        <v>1</v>
      </c>
      <c r="L395" s="33">
        <v>32600000</v>
      </c>
      <c r="M395" s="33">
        <v>6900000</v>
      </c>
      <c r="N395" s="33">
        <v>25900</v>
      </c>
      <c r="O395" s="33">
        <v>43700</v>
      </c>
      <c r="P395" s="34">
        <f t="shared" si="24"/>
        <v>0.21379141104294477</v>
      </c>
      <c r="Q395" s="34">
        <f t="shared" si="25"/>
        <v>0.21165644171779141</v>
      </c>
      <c r="R395" s="35">
        <f t="shared" si="26"/>
        <v>6.52</v>
      </c>
      <c r="S395" s="32" t="str">
        <f>IF(AND(L395&gt;=INDEX(Succès!$D$10:$D$13,MATCH(A395,Succès!$A$10:$A$13,0)),P395&gt;=INDEX(Succès!$E$10:$E$13,MATCH(A395,Succès!$A$10:$A$13,0))),"Succès complet",IF(P395&gt;=INDEX(Succès!$E$10:$E$13,MATCH(A395,Succès!$A$10:$A$13,0)),"Engagé, portée modeste",IF(L395&gt;=INDEX(Succès!$D$10:$D$13,MATCH(A395,Succès!$A$10:$A$13,0)),"Portée sans engagement","Standard")))</f>
        <v>Engagé, portée modeste</v>
      </c>
      <c r="T395" s="32">
        <f t="shared" si="27"/>
        <v>0</v>
      </c>
    </row>
    <row r="396" spans="1:20">
      <c r="A396" s="32" t="s">
        <v>49</v>
      </c>
      <c r="B396" s="32" t="s">
        <v>959</v>
      </c>
      <c r="C396" s="32" t="s">
        <v>851</v>
      </c>
      <c r="D396" s="32"/>
      <c r="E396" s="32" t="s">
        <v>93</v>
      </c>
      <c r="F396" s="32" t="s">
        <v>341</v>
      </c>
      <c r="G396" s="33">
        <v>19700000</v>
      </c>
      <c r="H396" s="32">
        <v>26</v>
      </c>
      <c r="I396" s="32">
        <v>10</v>
      </c>
      <c r="J396" s="32">
        <v>127</v>
      </c>
      <c r="K396" s="32">
        <v>1</v>
      </c>
      <c r="L396" s="33">
        <v>55400000</v>
      </c>
      <c r="M396" s="33">
        <v>6900000</v>
      </c>
      <c r="N396" s="33">
        <v>10500</v>
      </c>
      <c r="O396" s="33">
        <v>136400</v>
      </c>
      <c r="P396" s="34">
        <f t="shared" si="24"/>
        <v>0.12720036101083032</v>
      </c>
      <c r="Q396" s="34">
        <f t="shared" si="25"/>
        <v>0.12454873646209386</v>
      </c>
      <c r="R396" s="35">
        <f t="shared" si="26"/>
        <v>2.8121827411167515</v>
      </c>
      <c r="S396" s="32" t="str">
        <f>IF(AND(L396&gt;=INDEX(Succès!$D$10:$D$13,MATCH(A396,Succès!$A$10:$A$13,0)),P396&gt;=INDEX(Succès!$E$10:$E$13,MATCH(A396,Succès!$A$10:$A$13,0))),"Succès complet",IF(P396&gt;=INDEX(Succès!$E$10:$E$13,MATCH(A396,Succès!$A$10:$A$13,0)),"Engagé, portée modeste",IF(L396&gt;=INDEX(Succès!$D$10:$D$13,MATCH(A396,Succès!$A$10:$A$13,0)),"Portée sans engagement","Standard")))</f>
        <v>Portée sans engagement</v>
      </c>
      <c r="T396" s="32">
        <f t="shared" si="27"/>
        <v>0</v>
      </c>
    </row>
    <row r="397" spans="1:20">
      <c r="A397" s="32" t="s">
        <v>49</v>
      </c>
      <c r="B397" s="32" t="s">
        <v>960</v>
      </c>
      <c r="C397" s="32" t="s">
        <v>961</v>
      </c>
      <c r="D397" s="32"/>
      <c r="E397" s="32" t="s">
        <v>93</v>
      </c>
      <c r="F397" s="32" t="s">
        <v>341</v>
      </c>
      <c r="G397" s="33">
        <v>33200000</v>
      </c>
      <c r="H397" s="32">
        <v>59</v>
      </c>
      <c r="I397" s="32">
        <v>11</v>
      </c>
      <c r="J397" s="32">
        <v>148</v>
      </c>
      <c r="K397" s="32">
        <v>0</v>
      </c>
      <c r="L397" s="33">
        <v>82300000</v>
      </c>
      <c r="M397" s="33">
        <v>6900000</v>
      </c>
      <c r="N397" s="33">
        <v>30800</v>
      </c>
      <c r="O397" s="33">
        <v>194900</v>
      </c>
      <c r="P397" s="34">
        <f t="shared" si="24"/>
        <v>8.6582017010935597E-2</v>
      </c>
      <c r="Q397" s="34">
        <f t="shared" si="25"/>
        <v>8.3839611178614826E-2</v>
      </c>
      <c r="R397" s="35">
        <f t="shared" si="26"/>
        <v>2.4789156626506026</v>
      </c>
      <c r="S397" s="32" t="str">
        <f>IF(AND(L397&gt;=INDEX(Succès!$D$10:$D$13,MATCH(A397,Succès!$A$10:$A$13,0)),P397&gt;=INDEX(Succès!$E$10:$E$13,MATCH(A397,Succès!$A$10:$A$13,0))),"Succès complet",IF(P397&gt;=INDEX(Succès!$E$10:$E$13,MATCH(A397,Succès!$A$10:$A$13,0)),"Engagé, portée modeste",IF(L397&gt;=INDEX(Succès!$D$10:$D$13,MATCH(A397,Succès!$A$10:$A$13,0)),"Portée sans engagement","Standard")))</f>
        <v>Portée sans engagement</v>
      </c>
      <c r="T397" s="32">
        <f t="shared" si="27"/>
        <v>0</v>
      </c>
    </row>
    <row r="398" spans="1:20">
      <c r="A398" s="32" t="s">
        <v>49</v>
      </c>
      <c r="B398" s="32" t="s">
        <v>962</v>
      </c>
      <c r="C398" s="32" t="s">
        <v>963</v>
      </c>
      <c r="D398" s="32"/>
      <c r="E398" s="32" t="s">
        <v>93</v>
      </c>
      <c r="F398" s="32" t="s">
        <v>346</v>
      </c>
      <c r="G398" s="33">
        <v>3000000</v>
      </c>
      <c r="H398" s="32">
        <v>9</v>
      </c>
      <c r="I398" s="32">
        <v>16</v>
      </c>
      <c r="J398" s="32">
        <v>139</v>
      </c>
      <c r="K398" s="32">
        <v>1</v>
      </c>
      <c r="L398" s="33">
        <v>55100000</v>
      </c>
      <c r="M398" s="33">
        <v>6900000</v>
      </c>
      <c r="N398" s="33">
        <v>74900</v>
      </c>
      <c r="O398" s="33">
        <v>118100</v>
      </c>
      <c r="P398" s="34">
        <f t="shared" si="24"/>
        <v>0.12872958257713249</v>
      </c>
      <c r="Q398" s="34">
        <f t="shared" si="25"/>
        <v>0.12522686025408347</v>
      </c>
      <c r="R398" s="35">
        <f t="shared" si="26"/>
        <v>18.366666666666667</v>
      </c>
      <c r="S398" s="32" t="str">
        <f>IF(AND(L398&gt;=INDEX(Succès!$D$10:$D$13,MATCH(A398,Succès!$A$10:$A$13,0)),P398&gt;=INDEX(Succès!$E$10:$E$13,MATCH(A398,Succès!$A$10:$A$13,0))),"Succès complet",IF(P398&gt;=INDEX(Succès!$E$10:$E$13,MATCH(A398,Succès!$A$10:$A$13,0)),"Engagé, portée modeste",IF(L398&gt;=INDEX(Succès!$D$10:$D$13,MATCH(A398,Succès!$A$10:$A$13,0)),"Portée sans engagement","Standard")))</f>
        <v>Portée sans engagement</v>
      </c>
      <c r="T398" s="32">
        <f t="shared" si="27"/>
        <v>0</v>
      </c>
    </row>
    <row r="399" spans="1:20">
      <c r="A399" s="32" t="s">
        <v>49</v>
      </c>
      <c r="B399" s="32" t="s">
        <v>964</v>
      </c>
      <c r="C399" s="32" t="s">
        <v>265</v>
      </c>
      <c r="D399" s="32" t="s">
        <v>263</v>
      </c>
      <c r="E399" s="32" t="s">
        <v>93</v>
      </c>
      <c r="F399" s="32" t="s">
        <v>346</v>
      </c>
      <c r="G399" s="33">
        <v>958100</v>
      </c>
      <c r="H399" s="32">
        <v>15</v>
      </c>
      <c r="I399" s="32">
        <v>11</v>
      </c>
      <c r="J399" s="32">
        <v>127</v>
      </c>
      <c r="K399" s="32">
        <v>1</v>
      </c>
      <c r="L399" s="33">
        <v>27700000</v>
      </c>
      <c r="M399" s="33">
        <v>6900000</v>
      </c>
      <c r="N399" s="33">
        <v>34800</v>
      </c>
      <c r="O399" s="33">
        <v>224600</v>
      </c>
      <c r="P399" s="34">
        <f t="shared" si="24"/>
        <v>0.25846209386281588</v>
      </c>
      <c r="Q399" s="34">
        <f t="shared" si="25"/>
        <v>0.24909747292418771</v>
      </c>
      <c r="R399" s="35">
        <f t="shared" si="26"/>
        <v>28.911387120342344</v>
      </c>
      <c r="S399" s="32" t="str">
        <f>IF(AND(L399&gt;=INDEX(Succès!$D$10:$D$13,MATCH(A399,Succès!$A$10:$A$13,0)),P399&gt;=INDEX(Succès!$E$10:$E$13,MATCH(A399,Succès!$A$10:$A$13,0))),"Succès complet",IF(P399&gt;=INDEX(Succès!$E$10:$E$13,MATCH(A399,Succès!$A$10:$A$13,0)),"Engagé, portée modeste",IF(L399&gt;=INDEX(Succès!$D$10:$D$13,MATCH(A399,Succès!$A$10:$A$13,0)),"Portée sans engagement","Standard")))</f>
        <v>Engagé, portée modeste</v>
      </c>
      <c r="T399" s="32">
        <f t="shared" si="27"/>
        <v>0</v>
      </c>
    </row>
    <row r="400" spans="1:20">
      <c r="A400" s="32" t="s">
        <v>49</v>
      </c>
      <c r="B400" s="32" t="s">
        <v>965</v>
      </c>
      <c r="C400" s="32" t="s">
        <v>966</v>
      </c>
      <c r="D400" s="32"/>
      <c r="E400" s="32" t="s">
        <v>93</v>
      </c>
      <c r="F400" s="32" t="s">
        <v>346</v>
      </c>
      <c r="G400" s="33">
        <v>830400</v>
      </c>
      <c r="H400" s="32">
        <v>39</v>
      </c>
      <c r="I400" s="32">
        <v>13</v>
      </c>
      <c r="J400" s="32">
        <v>140</v>
      </c>
      <c r="K400" s="32">
        <v>1</v>
      </c>
      <c r="L400" s="33">
        <v>58400000</v>
      </c>
      <c r="M400" s="33">
        <v>6800000</v>
      </c>
      <c r="N400" s="33">
        <v>71100</v>
      </c>
      <c r="O400" s="33">
        <v>205700</v>
      </c>
      <c r="P400" s="34">
        <f t="shared" si="24"/>
        <v>0.12117808219178082</v>
      </c>
      <c r="Q400" s="34">
        <f t="shared" si="25"/>
        <v>0.11643835616438356</v>
      </c>
      <c r="R400" s="35">
        <f t="shared" si="26"/>
        <v>70.327552986512529</v>
      </c>
      <c r="S400" s="32" t="str">
        <f>IF(AND(L400&gt;=INDEX(Succès!$D$10:$D$13,MATCH(A400,Succès!$A$10:$A$13,0)),P400&gt;=INDEX(Succès!$E$10:$E$13,MATCH(A400,Succès!$A$10:$A$13,0))),"Succès complet",IF(P400&gt;=INDEX(Succès!$E$10:$E$13,MATCH(A400,Succès!$A$10:$A$13,0)),"Engagé, portée modeste",IF(L400&gt;=INDEX(Succès!$D$10:$D$13,MATCH(A400,Succès!$A$10:$A$13,0)),"Portée sans engagement","Standard")))</f>
        <v>Portée sans engagement</v>
      </c>
      <c r="T400" s="32">
        <f t="shared" si="27"/>
        <v>0</v>
      </c>
    </row>
    <row r="401" spans="1:20">
      <c r="A401" s="32" t="s">
        <v>49</v>
      </c>
      <c r="B401" s="32" t="s">
        <v>967</v>
      </c>
      <c r="C401" s="32" t="s">
        <v>968</v>
      </c>
      <c r="D401" s="32"/>
      <c r="E401" s="32" t="s">
        <v>93</v>
      </c>
      <c r="F401" s="32" t="s">
        <v>346</v>
      </c>
      <c r="G401" s="33">
        <v>1500000</v>
      </c>
      <c r="H401" s="32">
        <v>37</v>
      </c>
      <c r="I401" s="32">
        <v>4</v>
      </c>
      <c r="J401" s="32">
        <v>46</v>
      </c>
      <c r="K401" s="32">
        <v>1</v>
      </c>
      <c r="L401" s="33">
        <v>161300000</v>
      </c>
      <c r="M401" s="33">
        <v>6800000</v>
      </c>
      <c r="N401" s="33">
        <v>31600</v>
      </c>
      <c r="O401" s="33">
        <v>46700</v>
      </c>
      <c r="P401" s="34">
        <f t="shared" si="24"/>
        <v>4.2642901425914446E-2</v>
      </c>
      <c r="Q401" s="34">
        <f t="shared" si="25"/>
        <v>4.2157470551766892E-2</v>
      </c>
      <c r="R401" s="35">
        <f t="shared" si="26"/>
        <v>107.53333333333333</v>
      </c>
      <c r="S401" s="32" t="str">
        <f>IF(AND(L401&gt;=INDEX(Succès!$D$10:$D$13,MATCH(A401,Succès!$A$10:$A$13,0)),P401&gt;=INDEX(Succès!$E$10:$E$13,MATCH(A401,Succès!$A$10:$A$13,0))),"Succès complet",IF(P401&gt;=INDEX(Succès!$E$10:$E$13,MATCH(A401,Succès!$A$10:$A$13,0)),"Engagé, portée modeste",IF(L401&gt;=INDEX(Succès!$D$10:$D$13,MATCH(A401,Succès!$A$10:$A$13,0)),"Portée sans engagement","Standard")))</f>
        <v>Portée sans engagement</v>
      </c>
      <c r="T401" s="32">
        <f t="shared" si="27"/>
        <v>0</v>
      </c>
    </row>
  </sheetData>
  <autoFilter ref="A1:T401" xr:uid="{00000000-0009-0000-0000-000007000000}"/>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Feuilles de calcul</vt:lpstr>
      </vt:variant>
      <vt:variant>
        <vt:i4>8</vt:i4>
      </vt:variant>
    </vt:vector>
  </HeadingPairs>
  <TitlesOfParts>
    <vt:vector size="8" baseType="lpstr">
      <vt:lpstr>Synthèse</vt:lpstr>
      <vt:lpstr>Succès</vt:lpstr>
      <vt:lpstr>Facteurs</vt:lpstr>
      <vt:lpstr>Catégories</vt:lpstr>
      <vt:lpstr>TreeMap</vt:lpstr>
      <vt:lpstr>Contacts</vt:lpstr>
      <vt:lpstr>Méthode</vt:lpstr>
      <vt:lpstr>Données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Manon DESCLAUX</cp:lastModifiedBy>
  <cp:revision>1</cp:revision>
  <dcterms:created xsi:type="dcterms:W3CDTF">2026-10-07T08:27:21Z</dcterms:created>
  <dcterms:modified xsi:type="dcterms:W3CDTF">2026-10-07T19:38:41Z</dcterms:modified>
  <dc:language>en-US</dc:language>
</cp:coreProperties>
</file>